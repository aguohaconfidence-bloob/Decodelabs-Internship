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149350F-A2FB-40AF-8E1E-2EB8618912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 dataset" sheetId="3" r:id="rId1"/>
    <sheet name="Messy dataset" sheetId="2" r:id="rId2"/>
  </sheets>
  <definedNames>
    <definedName name="ExternalData_1" localSheetId="0" hidden="1">'Cleaned dataset'!$A$1:$N$1201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7" i="3" l="1"/>
  <c r="U36" i="3"/>
  <c r="U35" i="3"/>
  <c r="U34" i="3"/>
  <c r="S37" i="3"/>
  <c r="S36" i="3"/>
  <c r="S35" i="3"/>
  <c r="S34" i="3"/>
  <c r="U30" i="3"/>
  <c r="U29" i="3"/>
  <c r="U27" i="3"/>
  <c r="U26" i="3"/>
  <c r="U28" i="3"/>
  <c r="S29" i="3"/>
  <c r="S28" i="3"/>
  <c r="S27" i="3"/>
  <c r="S26" i="3"/>
  <c r="S30" i="3"/>
  <c r="T21" i="3"/>
  <c r="T20" i="3"/>
  <c r="T19" i="3"/>
  <c r="T18" i="3"/>
  <c r="T17" i="3"/>
  <c r="T16" i="3"/>
  <c r="T15" i="3"/>
  <c r="T22" i="3" s="1"/>
  <c r="N1202" i="3"/>
  <c r="E1202" i="3"/>
  <c r="U21" i="3"/>
  <c r="U20" i="3"/>
  <c r="U19" i="3"/>
  <c r="U18" i="3"/>
  <c r="U17" i="3"/>
  <c r="U16" i="3"/>
  <c r="U15" i="3"/>
  <c r="S21" i="3"/>
  <c r="S20" i="3"/>
  <c r="S19" i="3"/>
  <c r="S18" i="3"/>
  <c r="S17" i="3"/>
  <c r="S16" i="3"/>
  <c r="S15" i="3"/>
  <c r="S22" i="3" l="1"/>
  <c r="U2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EA0D7-CEA5-4E60-93DC-FE434761244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<sst xmlns="http://schemas.openxmlformats.org/spreadsheetml/2006/main" count="21358" uniqueCount="4299">
  <si>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</si>
  <si>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</si>
  <si>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</si>
  <si>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</si>
  <si>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</si>
  <si>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</si>
  <si>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</si>
  <si>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</si>
  <si>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</si>
  <si>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</si>
  <si>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</si>
  <si>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</si>
  <si>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</si>
  <si>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</si>
  <si>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</si>
  <si>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</si>
  <si>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</si>
  <si>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</si>
  <si>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</si>
  <si>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</si>
  <si>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</si>
  <si>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</si>
  <si>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</si>
  <si>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</si>
  <si>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</si>
  <si>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</si>
  <si>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</si>
  <si>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</si>
  <si>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</si>
  <si>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</si>
  <si>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</si>
  <si>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</si>
  <si>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</si>
  <si>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</si>
  <si>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</si>
  <si>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</si>
  <si>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</si>
  <si>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</si>
  <si>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</si>
  <si>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</si>
  <si>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</si>
  <si>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</si>
  <si>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</si>
  <si>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</si>
  <si>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</si>
  <si>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</si>
  <si>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</si>
  <si>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</si>
  <si>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</si>
  <si>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</si>
  <si>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</si>
  <si>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</si>
  <si>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</si>
  <si>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</si>
  <si>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</si>
  <si>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</si>
  <si>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</si>
  <si>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</si>
  <si>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</si>
  <si>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</si>
  <si>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</si>
  <si>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</si>
  <si>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</si>
  <si>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</si>
  <si>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</si>
  <si>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</si>
  <si>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</si>
  <si>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</si>
  <si>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</si>
  <si>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</si>
  <si>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</si>
  <si>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</si>
  <si>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</si>
  <si>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</si>
  <si>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</si>
  <si>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</si>
  <si>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</si>
  <si>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</si>
  <si>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</si>
  <si>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</si>
  <si>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</si>
  <si>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</si>
  <si>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</si>
  <si>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</si>
  <si>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</si>
  <si>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</si>
  <si>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</si>
  <si>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</si>
  <si>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</si>
  <si>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</si>
  <si>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</si>
  <si>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</si>
  <si>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</si>
  <si>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</si>
  <si>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</si>
  <si>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</si>
  <si>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</si>
  <si>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</si>
  <si>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</si>
  <si>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</si>
  <si>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</si>
  <si>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</si>
  <si>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</si>
  <si>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</si>
  <si>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</si>
  <si>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</si>
  <si>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</si>
  <si>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</si>
  <si>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</si>
  <si>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</si>
  <si>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</si>
  <si>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</si>
  <si>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</si>
  <si>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</si>
  <si>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</si>
  <si>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</si>
  <si>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</si>
  <si>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</si>
  <si>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</si>
  <si>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</si>
  <si>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</si>
  <si>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</si>
  <si>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</si>
  <si>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</si>
  <si>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</si>
  <si>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</si>
  <si>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</si>
  <si>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</si>
  <si>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</si>
  <si>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</si>
  <si>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</si>
  <si>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</si>
  <si>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</si>
  <si>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</si>
  <si>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</si>
  <si>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</si>
  <si>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</si>
  <si>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</si>
  <si>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</si>
  <si>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</si>
  <si>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</si>
  <si>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</si>
  <si>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</si>
  <si>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</si>
  <si>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</si>
  <si>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</si>
  <si>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</si>
  <si>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</si>
  <si>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</si>
  <si>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</si>
  <si>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</si>
  <si>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</si>
  <si>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</si>
  <si>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</si>
  <si>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</si>
  <si>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</si>
  <si>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</si>
  <si>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</si>
  <si>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</si>
  <si>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</si>
  <si>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</si>
  <si>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</si>
  <si>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</si>
  <si>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</si>
  <si>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</si>
  <si>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</si>
  <si>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</si>
  <si>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</si>
  <si>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</si>
  <si>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</si>
  <si>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</si>
  <si>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</si>
  <si>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</si>
  <si>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</si>
  <si>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</si>
  <si>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</si>
  <si>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</si>
  <si>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</si>
  <si>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</si>
  <si>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</si>
  <si>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</si>
  <si>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</si>
  <si>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</si>
  <si>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</si>
  <si>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</si>
  <si>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</si>
  <si>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</si>
  <si>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</si>
  <si>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</si>
  <si>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</si>
  <si>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</si>
  <si>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</si>
  <si>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</si>
  <si>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</si>
  <si>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</si>
  <si>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</si>
  <si>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</si>
  <si>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</si>
  <si>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</si>
  <si>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</si>
  <si>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</si>
  <si>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</si>
  <si>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</si>
  <si>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</si>
  <si>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</si>
  <si>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</si>
  <si>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</si>
  <si>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</si>
  <si>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</si>
  <si>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</si>
  <si>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</si>
  <si>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</si>
  <si>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</si>
  <si>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</si>
  <si>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</si>
  <si>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</si>
  <si>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</si>
  <si>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</si>
  <si>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</si>
  <si>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</si>
  <si>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</si>
  <si>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</si>
  <si>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</si>
  <si>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</si>
  <si>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</si>
  <si>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</si>
  <si>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</si>
  <si>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</si>
  <si>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</si>
  <si>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</si>
  <si>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</si>
  <si>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</si>
  <si>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</si>
  <si>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</si>
  <si>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</si>
  <si>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</si>
  <si>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</si>
  <si>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</si>
  <si>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</si>
  <si>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</si>
  <si>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</si>
  <si>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</si>
  <si>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</si>
  <si>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</si>
  <si>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</si>
  <si>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</si>
  <si>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</si>
  <si>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</si>
  <si>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</si>
  <si>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</si>
  <si>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</si>
  <si>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</si>
  <si>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</si>
  <si>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</si>
  <si>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</si>
  <si>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</si>
  <si>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</si>
  <si>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</si>
  <si>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</si>
  <si>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</si>
  <si>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</si>
  <si>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</si>
  <si>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</si>
  <si>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</si>
  <si>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</si>
  <si>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</si>
  <si>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</si>
  <si>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</si>
  <si>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</si>
  <si>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</si>
  <si>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</si>
  <si>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</si>
  <si>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</si>
  <si>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</si>
  <si>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</si>
  <si>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</si>
  <si>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</si>
  <si>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</si>
  <si>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</si>
  <si>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</si>
  <si>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</si>
  <si>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</si>
  <si>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</si>
  <si>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</si>
  <si>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</si>
  <si>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</si>
  <si>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</si>
  <si>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</si>
  <si>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</si>
  <si>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</si>
  <si>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</si>
  <si>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</si>
  <si>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</si>
  <si>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</si>
  <si>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</si>
  <si>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</si>
  <si>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</si>
  <si>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</si>
  <si>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</si>
  <si>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</si>
  <si>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</si>
  <si>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</si>
  <si>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</si>
  <si>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</si>
  <si>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</si>
  <si>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</si>
  <si>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</si>
  <si>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</si>
  <si>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</si>
  <si>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</si>
  <si>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</si>
  <si>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</si>
  <si>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</si>
  <si>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</si>
  <si>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</si>
  <si>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</si>
  <si>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</si>
  <si>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</si>
  <si>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</si>
  <si>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</si>
  <si>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</si>
  <si>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</si>
  <si>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</si>
  <si>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</si>
  <si>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</si>
  <si>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</si>
  <si>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</si>
  <si>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</si>
  <si>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</si>
  <si>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</si>
  <si>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</si>
  <si>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</si>
  <si>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</si>
  <si>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</si>
  <si>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</si>
  <si>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</si>
  <si>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</si>
  <si>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</si>
  <si>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</si>
  <si>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</si>
  <si>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</si>
  <si>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</si>
  <si>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</si>
  <si>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</si>
  <si>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</si>
  <si>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</si>
  <si>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</si>
  <si>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</si>
  <si>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</si>
  <si>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</si>
  <si>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</si>
  <si>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</si>
  <si>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</si>
  <si>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</si>
  <si>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</si>
  <si>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</si>
  <si>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</si>
  <si>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</si>
  <si>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</si>
  <si>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</si>
  <si>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</si>
  <si>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</si>
  <si>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</si>
  <si>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</si>
  <si>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</si>
  <si>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</si>
  <si>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</si>
  <si>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</si>
  <si>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</si>
  <si>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</si>
  <si>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</si>
  <si>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</si>
  <si>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</si>
  <si>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</si>
  <si>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</si>
  <si>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</si>
  <si>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</si>
  <si>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</si>
  <si>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</si>
  <si>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</si>
  <si>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</si>
  <si>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</si>
  <si>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</si>
  <si>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</si>
  <si>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</si>
  <si>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</si>
  <si>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</si>
  <si>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</si>
  <si>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</si>
  <si>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</si>
  <si>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</si>
  <si>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</si>
  <si>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</si>
  <si>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</si>
  <si>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</si>
  <si>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</si>
  <si>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</si>
  <si>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</si>
  <si>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</si>
  <si>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</si>
  <si>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</si>
  <si>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</si>
  <si>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</si>
  <si>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</si>
  <si>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</si>
  <si>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</si>
  <si>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</si>
  <si>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</si>
  <si>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</si>
  <si>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</si>
  <si>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</si>
  <si>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</si>
  <si>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</si>
  <si>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</si>
  <si>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</si>
  <si>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</si>
  <si>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</si>
  <si>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</si>
  <si>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</si>
  <si>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</si>
  <si>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</si>
  <si>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</si>
  <si>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</si>
  <si>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</si>
  <si>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</si>
  <si>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</si>
  <si>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</si>
  <si>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</si>
  <si>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</si>
  <si>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</si>
  <si>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</si>
  <si>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</si>
  <si>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</si>
  <si>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</si>
  <si>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</si>
  <si>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</si>
  <si>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</si>
  <si>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</si>
  <si>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</si>
  <si>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</si>
  <si>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</si>
  <si>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</si>
  <si>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</si>
  <si>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</si>
  <si>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</si>
  <si>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</si>
  <si>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</si>
  <si>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</si>
  <si>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</si>
  <si>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</si>
  <si>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</si>
  <si>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</si>
  <si>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</si>
  <si>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</si>
  <si>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</si>
  <si>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</si>
  <si>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</si>
  <si>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</si>
  <si>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</si>
  <si>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</si>
  <si>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</si>
  <si>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</si>
  <si>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</si>
  <si>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</si>
  <si>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</si>
  <si>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</si>
  <si>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</si>
  <si>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</si>
  <si>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</si>
  <si>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</si>
  <si>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</si>
  <si>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</si>
  <si>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</si>
  <si>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</si>
  <si>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</si>
  <si>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</si>
  <si>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</si>
  <si>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</si>
  <si>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</si>
  <si>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</si>
  <si>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</si>
  <si>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</si>
  <si>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</si>
  <si>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</si>
  <si>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</si>
  <si>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</si>
  <si>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</si>
  <si>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</si>
  <si>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</si>
  <si>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</si>
  <si>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</si>
  <si>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</si>
  <si>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</si>
  <si>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</si>
  <si>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</si>
  <si>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</si>
  <si>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</si>
  <si>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</si>
  <si>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</si>
  <si>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</si>
  <si>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</si>
  <si>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</si>
  <si>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</si>
  <si>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</si>
  <si>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</si>
  <si>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</si>
  <si>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</si>
  <si>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</si>
  <si>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</si>
  <si>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</si>
  <si>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</si>
  <si>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</si>
  <si>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</si>
  <si>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</si>
  <si>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</si>
  <si>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</si>
  <si>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</si>
  <si>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</si>
  <si>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</si>
  <si>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</si>
  <si>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</si>
  <si>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</si>
  <si>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</si>
  <si>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</si>
  <si>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</si>
  <si>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</si>
  <si>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</si>
  <si>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</si>
  <si>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</si>
  <si>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</si>
  <si>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</si>
  <si>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</si>
  <si>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</si>
  <si>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</si>
  <si>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</si>
  <si>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</si>
  <si>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</si>
  <si>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</si>
  <si>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</si>
  <si>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</si>
  <si>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</si>
  <si>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</si>
  <si>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</si>
  <si>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</si>
  <si>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</si>
  <si>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</si>
  <si>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</si>
  <si>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</si>
  <si>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</si>
  <si>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</si>
  <si>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</si>
  <si>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</si>
  <si>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</si>
  <si>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</si>
  <si>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</si>
  <si>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</si>
  <si>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</si>
  <si>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</si>
  <si>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</si>
  <si>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</si>
  <si>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</si>
  <si>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</si>
  <si>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</si>
  <si>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</si>
  <si>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</si>
  <si>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</si>
  <si>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</si>
  <si>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</si>
  <si>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</si>
  <si>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</si>
  <si>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</si>
  <si>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</si>
  <si>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</si>
  <si>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</si>
  <si>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</si>
  <si>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</si>
  <si>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</si>
  <si>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</si>
  <si>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</si>
  <si>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</si>
  <si>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</si>
  <si>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</si>
  <si>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</si>
  <si>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</si>
  <si>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</si>
  <si>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</si>
  <si>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</si>
  <si>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</si>
  <si>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</si>
  <si>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</si>
  <si>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</si>
  <si>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</si>
  <si>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</si>
  <si>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</si>
  <si>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</si>
  <si>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</si>
  <si>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</si>
  <si>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</si>
  <si>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</si>
  <si>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</si>
  <si>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</si>
  <si>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</si>
  <si>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</si>
  <si>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</si>
  <si>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</si>
  <si>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</si>
  <si>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</si>
  <si>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</si>
  <si>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</si>
  <si>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</si>
  <si>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</si>
  <si>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</si>
  <si>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</si>
  <si>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</si>
  <si>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</si>
  <si>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</si>
  <si>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</si>
  <si>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</si>
  <si>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</si>
  <si>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</si>
  <si>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</si>
  <si>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</si>
  <si>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</si>
  <si>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</si>
  <si>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</si>
  <si>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</si>
  <si>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</si>
  <si>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</si>
  <si>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</si>
  <si>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</si>
  <si>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</si>
  <si>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</si>
  <si>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</si>
  <si>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</si>
  <si>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</si>
  <si>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</si>
  <si>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</si>
  <si>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</si>
  <si>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</si>
  <si>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</si>
  <si>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</si>
  <si>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</si>
  <si>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</si>
  <si>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</si>
  <si>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</si>
  <si>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</si>
  <si>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</si>
  <si>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</si>
  <si>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</si>
  <si>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</si>
  <si>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</si>
  <si>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</si>
  <si>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</si>
  <si>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</si>
  <si>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</si>
  <si>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</si>
  <si>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</si>
  <si>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</si>
  <si>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</si>
  <si>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</si>
  <si>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</si>
  <si>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</si>
  <si>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</si>
  <si>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</si>
  <si>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</si>
  <si>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</si>
  <si>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</si>
  <si>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</si>
  <si>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</si>
  <si>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</si>
  <si>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</si>
  <si>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</si>
  <si>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</si>
  <si>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</si>
  <si>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</si>
  <si>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</si>
  <si>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</si>
  <si>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</si>
  <si>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</si>
  <si>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</si>
  <si>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</si>
  <si>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</si>
  <si>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</si>
  <si>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</si>
  <si>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</si>
  <si>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</si>
  <si>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</si>
  <si>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</si>
  <si>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</si>
  <si>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</si>
  <si>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</si>
  <si>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</si>
  <si>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</si>
  <si>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</si>
  <si>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</si>
  <si>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</si>
  <si>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</si>
  <si>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</si>
  <si>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</si>
  <si>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</si>
  <si>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</si>
  <si>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</si>
  <si>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</si>
  <si>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</si>
  <si>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</si>
  <si>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</si>
  <si>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</si>
  <si>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</si>
  <si>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</si>
  <si>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</si>
  <si>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</si>
  <si>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</si>
  <si>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</si>
  <si>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</si>
  <si>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</si>
  <si>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</si>
  <si>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</si>
  <si>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</si>
  <si>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</si>
  <si>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</si>
  <si>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</si>
  <si>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</si>
  <si>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</si>
  <si>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</si>
  <si>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</si>
  <si>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</si>
  <si>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</si>
  <si>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</si>
  <si>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</si>
  <si>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</si>
  <si>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</si>
  <si>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</si>
  <si>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</si>
  <si>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</si>
  <si>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</si>
  <si>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</si>
  <si>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</si>
  <si>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</si>
  <si>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</si>
  <si>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</si>
  <si>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</si>
  <si>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</si>
  <si>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</si>
  <si>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</si>
  <si>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</si>
  <si>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</si>
  <si>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</si>
  <si>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</si>
  <si>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</si>
  <si>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</si>
  <si>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</si>
  <si>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</si>
  <si>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</si>
  <si>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</si>
  <si>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</si>
  <si>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</si>
  <si>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</si>
  <si>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</si>
  <si>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</si>
  <si>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</si>
  <si>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</si>
  <si>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</si>
  <si>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</si>
  <si>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</si>
  <si>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</si>
  <si>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</si>
  <si>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</si>
  <si>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</si>
  <si>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</si>
  <si>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</si>
  <si>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</si>
  <si>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</si>
  <si>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</si>
  <si>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</si>
  <si>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</si>
  <si>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</si>
  <si>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</si>
  <si>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</si>
  <si>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</si>
  <si>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</si>
  <si>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</si>
  <si>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</si>
  <si>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</si>
  <si>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</si>
  <si>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</si>
  <si>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</si>
  <si>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</si>
  <si>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</si>
  <si>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</si>
  <si>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</si>
  <si>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</si>
  <si>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</si>
  <si>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</si>
  <si>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</si>
  <si>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</si>
  <si>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</si>
  <si>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</si>
  <si>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</si>
  <si>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</si>
  <si>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</si>
  <si>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</si>
  <si>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</si>
  <si>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</si>
  <si>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</si>
  <si>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</si>
  <si>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</si>
  <si>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</si>
  <si>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</si>
  <si>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</si>
  <si>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</si>
  <si>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</si>
  <si>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</si>
  <si>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</si>
  <si>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</si>
  <si>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</si>
  <si>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</si>
  <si>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</si>
  <si>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</si>
  <si>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</si>
  <si>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</si>
  <si>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</si>
  <si>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</si>
  <si>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</si>
  <si>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</si>
  <si>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</si>
  <si>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</si>
  <si>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</si>
  <si>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</si>
  <si>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</si>
  <si>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</si>
  <si>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</si>
  <si>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</si>
  <si>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</si>
  <si>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</si>
  <si>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</si>
  <si>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</si>
  <si>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</si>
  <si>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</si>
  <si>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</si>
  <si>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</si>
  <si>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</si>
  <si>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</si>
  <si>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</si>
  <si>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</si>
  <si>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</si>
  <si>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</si>
  <si>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</si>
  <si>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</si>
  <si>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</si>
  <si>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</si>
  <si>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</si>
  <si>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</si>
  <si>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</si>
  <si>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</si>
  <si>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</si>
  <si>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</si>
  <si>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</si>
  <si>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</si>
  <si>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</si>
  <si>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</si>
  <si>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</si>
  <si>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</si>
  <si>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</si>
  <si>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</si>
  <si>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</si>
  <si>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</si>
  <si>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</si>
  <si>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</si>
  <si>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</si>
  <si>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</si>
  <si>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</si>
  <si>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</si>
  <si>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</si>
  <si>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</si>
  <si>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</si>
  <si>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</si>
  <si>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</si>
  <si>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</si>
  <si>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</si>
  <si>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</si>
  <si>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</si>
  <si>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</si>
  <si>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</si>
  <si>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</si>
  <si>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</si>
  <si>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</si>
  <si>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</si>
  <si>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</si>
  <si>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</si>
  <si>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</si>
  <si>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</si>
  <si>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</si>
  <si>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</si>
  <si>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</si>
  <si>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</si>
  <si>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</si>
  <si>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</si>
  <si>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</si>
  <si>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</si>
  <si>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</si>
  <si>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</si>
  <si>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</si>
  <si>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</si>
  <si>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</si>
  <si>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</si>
  <si>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</si>
  <si>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</si>
  <si>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</si>
  <si>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</si>
  <si>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</si>
  <si>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</si>
  <si>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</si>
  <si>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</si>
  <si>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</si>
  <si>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</si>
  <si>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</si>
  <si>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</si>
  <si>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</si>
  <si>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</si>
  <si>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</si>
  <si>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</si>
  <si>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</si>
  <si>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</si>
  <si>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</si>
  <si>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</si>
  <si>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</si>
  <si>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</si>
  <si>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</si>
  <si>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</si>
  <si>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</si>
  <si>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</si>
  <si>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</si>
  <si>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</si>
  <si>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</si>
  <si>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</si>
  <si>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</si>
  <si>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</si>
  <si>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</si>
  <si>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</si>
  <si>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</si>
  <si>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</si>
  <si>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</si>
  <si>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</si>
  <si>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</si>
  <si>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</si>
  <si>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</si>
  <si>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</si>
  <si>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</si>
  <si>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</si>
  <si>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</si>
  <si>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</si>
  <si>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</si>
  <si>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</si>
  <si>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</si>
  <si>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</si>
  <si>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</si>
  <si>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</si>
  <si>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</si>
  <si>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</si>
  <si>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</si>
  <si>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</si>
  <si>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</si>
  <si>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</si>
  <si>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</si>
  <si>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</si>
  <si>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</si>
  <si>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</si>
  <si>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</si>
  <si>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</si>
  <si>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</si>
  <si>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</si>
  <si>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</si>
  <si>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</si>
  <si>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</si>
  <si>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</si>
  <si>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</si>
  <si>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</si>
  <si>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</si>
  <si>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</si>
  <si>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</si>
  <si>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</si>
  <si>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</si>
  <si>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</si>
  <si>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</si>
  <si>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</si>
  <si>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</si>
  <si>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</si>
  <si>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</si>
  <si>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</si>
  <si>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</si>
  <si>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</si>
  <si>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</si>
  <si>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</si>
  <si>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</si>
  <si>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</si>
  <si>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</si>
  <si>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</si>
  <si>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</si>
  <si>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</si>
  <si>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</si>
  <si>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</si>
  <si>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</si>
  <si>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</si>
  <si>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</si>
  <si>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</si>
  <si>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</si>
  <si>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</si>
  <si>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</si>
  <si>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</si>
  <si>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</si>
  <si>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</si>
  <si>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</si>
  <si>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</si>
  <si>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</si>
  <si>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</si>
  <si>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</si>
  <si>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</si>
  <si>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</si>
  <si>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</si>
  <si>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</si>
  <si>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</si>
  <si>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</si>
  <si>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</si>
  <si>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</si>
  <si>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</si>
  <si>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</si>
  <si>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</si>
  <si>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</si>
  <si>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</si>
  <si>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</si>
  <si>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</si>
  <si>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</si>
  <si>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</si>
  <si>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</si>
  <si>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</si>
  <si>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</si>
  <si>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</si>
  <si>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</si>
  <si>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</si>
  <si>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</si>
  <si>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</si>
  <si>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</si>
  <si>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</si>
  <si>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</si>
  <si>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</si>
  <si>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</si>
  <si>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</si>
  <si>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</si>
  <si>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</si>
  <si>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</si>
  <si>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</si>
  <si>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</si>
  <si>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</si>
  <si>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</si>
  <si>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</si>
  <si>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</si>
  <si>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</si>
  <si>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</si>
  <si>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</si>
  <si>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</si>
  <si>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</si>
  <si>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</si>
  <si>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</si>
  <si>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</si>
  <si>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</si>
  <si>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</si>
  <si>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</si>
  <si>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</si>
  <si>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</si>
  <si>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</si>
  <si>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</si>
  <si>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</si>
  <si>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</si>
  <si>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</si>
  <si>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</si>
  <si>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</si>
  <si>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</si>
  <si>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</si>
  <si>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</si>
  <si>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</si>
  <si>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</si>
  <si>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</si>
  <si>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</si>
  <si>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</si>
  <si>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</si>
  <si>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</si>
  <si>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</si>
  <si>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</si>
  <si>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</si>
  <si>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</si>
  <si>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</si>
  <si>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</si>
  <si>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</si>
  <si>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</si>
  <si>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</si>
  <si>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</si>
  <si>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</si>
  <si>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</si>
  <si>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</si>
  <si>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</si>
  <si>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</si>
  <si>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</si>
  <si>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</si>
  <si>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</si>
  <si>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</si>
  <si>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</si>
  <si>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</si>
  <si>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</si>
  <si>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</si>
  <si>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</si>
  <si>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</si>
  <si>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</si>
  <si>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</si>
  <si>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</si>
  <si>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</si>
  <si>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</si>
  <si>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</si>
  <si>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</si>
  <si>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</si>
  <si>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</si>
  <si>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</si>
  <si>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</si>
  <si>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</si>
  <si>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</si>
  <si>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</si>
  <si>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</si>
  <si>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</si>
  <si>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</si>
  <si>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</si>
  <si>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</si>
  <si>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</si>
  <si>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</si>
  <si>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</si>
  <si>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</si>
  <si>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</si>
  <si>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</si>
  <si>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</si>
  <si>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</si>
  <si>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</si>
  <si>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</si>
  <si>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</si>
  <si>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</si>
  <si>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</si>
  <si>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</si>
  <si>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</si>
  <si>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</si>
  <si>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</si>
  <si>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</si>
  <si>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</si>
  <si>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</si>
  <si>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</si>
  <si>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</si>
  <si>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</si>
  <si>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</si>
  <si>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</si>
  <si>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</si>
  <si>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</si>
  <si>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</si>
  <si>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</si>
  <si>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</si>
  <si>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</si>
  <si>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</si>
  <si>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</si>
  <si>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</si>
  <si>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</si>
  <si>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</si>
  <si>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</si>
  <si>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</si>
  <si>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</si>
  <si>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</si>
  <si>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</si>
  <si>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</si>
  <si>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</si>
  <si>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</si>
  <si>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</si>
  <si>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</si>
  <si>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</si>
  <si>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</si>
  <si>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</si>
  <si>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</si>
  <si>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</si>
  <si>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</si>
  <si>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</si>
  <si>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</si>
  <si>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</si>
  <si>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</si>
  <si>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</si>
  <si>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</si>
  <si>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</si>
  <si>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</si>
  <si>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</si>
  <si>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</si>
  <si>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</si>
  <si>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</si>
  <si>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</si>
  <si>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</si>
  <si>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</si>
  <si>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</si>
  <si>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</si>
  <si>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</si>
  <si>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</si>
  <si>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</si>
  <si>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</si>
  <si>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</si>
  <si>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</si>
  <si>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</si>
  <si>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</si>
  <si>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</si>
  <si>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</si>
  <si>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</si>
  <si>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</si>
  <si>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</si>
  <si>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</si>
  <si>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</si>
  <si>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</si>
  <si>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</si>
  <si>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</si>
  <si>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</si>
  <si>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</si>
  <si>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</si>
  <si>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</si>
  <si>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</si>
  <si>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</si>
  <si>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</si>
  <si>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</si>
  <si>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</si>
  <si>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</si>
  <si>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</si>
  <si>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</si>
  <si>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</si>
  <si>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</si>
  <si>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</si>
  <si>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</si>
  <si>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</si>
  <si>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</si>
  <si>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</si>
  <si>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</si>
  <si>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</si>
  <si>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</si>
  <si>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</si>
  <si>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</si>
  <si>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</si>
  <si>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</si>
  <si>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</si>
  <si>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</si>
  <si>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</si>
  <si>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</si>
  <si>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</si>
  <si>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</si>
  <si>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</si>
  <si>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</si>
  <si>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</si>
  <si>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</si>
  <si>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</si>
  <si>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</si>
  <si>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</si>
  <si>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</si>
  <si>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</si>
  <si>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</si>
  <si>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</si>
  <si>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</si>
  <si>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</si>
  <si>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</si>
  <si>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</si>
  <si>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</si>
  <si>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</si>
  <si>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</si>
  <si>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</si>
  <si>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</si>
  <si>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</si>
  <si>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</si>
  <si>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</si>
  <si>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</si>
  <si>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</si>
  <si>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</si>
  <si>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</si>
  <si>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</si>
  <si>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</si>
  <si>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</si>
  <si>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</si>
  <si>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</si>
  <si>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</si>
  <si>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</si>
  <si>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</si>
  <si>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</si>
  <si>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</si>
  <si>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</si>
  <si>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</si>
  <si>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</si>
  <si>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</si>
  <si>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</si>
  <si>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</si>
  <si>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</si>
  <si>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</si>
  <si>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</si>
  <si>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</si>
  <si>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</si>
  <si>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</si>
  <si>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</si>
  <si>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</si>
  <si>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</si>
  <si>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</si>
  <si>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</si>
  <si>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</si>
  <si>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</si>
  <si>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</si>
  <si>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</si>
  <si>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</si>
  <si>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</si>
  <si>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</si>
  <si>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</si>
  <si>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</si>
  <si>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</si>
  <si>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</si>
  <si>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</si>
  <si>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</si>
  <si>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</si>
  <si>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</si>
  <si>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</si>
  <si>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</si>
  <si>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</si>
  <si>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</si>
  <si>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</si>
  <si>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</si>
  <si>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</si>
  <si>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</si>
  <si>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</si>
  <si>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</si>
  <si>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</si>
  <si>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</si>
  <si>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</si>
  <si>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</si>
  <si>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</si>
  <si>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</si>
  <si>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</si>
  <si>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</si>
  <si>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</si>
  <si>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</si>
  <si>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</si>
  <si>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</si>
  <si>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</si>
  <si>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</si>
  <si>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</si>
  <si>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</si>
  <si>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</si>
  <si>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</si>
  <si>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</si>
  <si>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</si>
  <si>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</si>
  <si>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</si>
  <si>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</si>
  <si>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</si>
  <si>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</si>
  <si>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</si>
  <si>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</si>
  <si>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</si>
  <si>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</si>
  <si>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</si>
  <si>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</si>
  <si>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</si>
  <si>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</si>
  <si>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</si>
  <si>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</si>
  <si>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</si>
  <si>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</si>
  <si>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</si>
  <si>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</si>
  <si>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</si>
  <si>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</si>
  <si>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</si>
  <si>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</si>
  <si>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</si>
  <si>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</si>
  <si>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</si>
  <si>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</si>
  <si>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</si>
  <si>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</si>
  <si>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</si>
  <si>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</si>
  <si>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</si>
  <si>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</si>
  <si>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</si>
  <si>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</si>
  <si>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</si>
  <si>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</si>
  <si>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</si>
  <si>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</si>
  <si>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</si>
  <si>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</si>
  <si>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</si>
  <si>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</si>
  <si>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</si>
  <si>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</si>
  <si>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</si>
  <si>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</si>
  <si>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</si>
  <si>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</si>
  <si>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</si>
  <si>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</si>
  <si>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</si>
  <si>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</si>
  <si>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</si>
  <si>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</si>
  <si>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</si>
  <si>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</si>
  <si>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</si>
  <si>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</si>
  <si>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</si>
  <si>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</si>
  <si>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</si>
  <si>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</si>
  <si>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</si>
  <si>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</si>
  <si>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</si>
  <si>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</si>
  <si>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</si>
  <si>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</si>
  <si>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</si>
  <si>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</si>
  <si>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</si>
  <si>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</si>
  <si>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</si>
  <si>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</si>
  <si>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</si>
  <si>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</si>
  <si>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</si>
  <si>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</si>
  <si>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</si>
  <si>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</si>
  <si>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</si>
  <si>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</si>
  <si>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</si>
  <si>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</si>
  <si>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</si>
  <si>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</si>
  <si>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</si>
  <si>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</si>
  <si>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</si>
  <si>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</si>
  <si>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</si>
  <si>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</si>
  <si>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</si>
  <si>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</si>
  <si>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</si>
  <si>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</si>
  <si>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</si>
  <si>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</si>
  <si>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</si>
  <si>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</si>
  <si>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</si>
  <si>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</si>
  <si>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</si>
  <si>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</si>
  <si>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</si>
  <si>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</si>
  <si>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</si>
  <si>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</si>
  <si>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</si>
  <si>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</si>
  <si>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</si>
  <si>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</si>
  <si>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</si>
  <si>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</si>
  <si>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</si>
  <si>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</si>
  <si>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</si>
  <si>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</si>
  <si>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</si>
  <si>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</si>
  <si>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</si>
  <si>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</si>
  <si>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</si>
  <si>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</si>
  <si>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</si>
  <si>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</si>
  <si>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</si>
  <si>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</si>
  <si>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</si>
  <si>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</si>
  <si>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</si>
  <si>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</si>
  <si>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</si>
  <si>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</si>
  <si>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</si>
  <si>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</si>
  <si>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</si>
  <si>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</si>
  <si>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</si>
  <si>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</si>
  <si>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</si>
  <si>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</si>
  <si>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</si>
  <si>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</si>
  <si>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</si>
  <si>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</si>
  <si>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</si>
  <si>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</si>
  <si>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</si>
  <si>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</si>
  <si>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</si>
  <si>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</si>
  <si>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</si>
  <si>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</si>
  <si>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</si>
  <si>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</si>
  <si>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</si>
  <si>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</si>
  <si>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</si>
  <si>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</si>
  <si>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</si>
  <si>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</si>
  <si>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</si>
  <si>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</si>
  <si>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</si>
  <si>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</si>
  <si>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</si>
  <si>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</si>
  <si>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</si>
  <si>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</si>
  <si>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</si>
  <si>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</si>
  <si>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</si>
  <si>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</si>
  <si>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</si>
  <si>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</si>
  <si>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</si>
  <si>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</si>
  <si>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</si>
  <si>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</si>
  <si>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</si>
  <si>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</si>
  <si>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</si>
  <si>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</si>
  <si>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</si>
  <si>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</si>
  <si>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</si>
  <si>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</si>
  <si>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</si>
  <si>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</si>
  <si>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</si>
  <si>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</si>
  <si>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</si>
  <si>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</si>
  <si>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</si>
  <si>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</si>
  <si>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</si>
  <si>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</si>
  <si>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</si>
  <si>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</si>
  <si>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</si>
  <si>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</si>
  <si>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</si>
  <si>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</si>
  <si>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</si>
  <si>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</si>
  <si>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</si>
  <si>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</si>
  <si>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</si>
  <si>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</si>
  <si>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</si>
  <si>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</si>
  <si>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</si>
  <si>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</si>
  <si>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</si>
  <si>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</si>
  <si>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</si>
  <si>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</si>
  <si>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</si>
  <si>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</si>
  <si>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</si>
  <si>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</si>
  <si>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</si>
  <si>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</si>
  <si>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</si>
  <si>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</si>
  <si>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</si>
  <si>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</si>
  <si>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</si>
  <si>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</si>
  <si>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</si>
  <si>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</si>
  <si>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</si>
  <si>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</si>
  <si>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</si>
  <si>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</si>
  <si>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</si>
  <si>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</si>
  <si>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</si>
  <si>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</si>
  <si>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</si>
  <si>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</si>
  <si>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</si>
  <si>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</si>
  <si>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</si>
  <si>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</si>
  <si>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</si>
  <si>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</si>
  <si>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</si>
  <si>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</si>
  <si>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</si>
  <si>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</si>
  <si>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</si>
  <si>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</si>
  <si>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</si>
  <si>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</si>
  <si>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</si>
  <si>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</si>
  <si>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</si>
  <si>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</si>
  <si>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</si>
  <si>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</si>
  <si>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</si>
  <si>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</si>
  <si>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</si>
  <si>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</si>
  <si>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</si>
  <si>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</si>
  <si>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</si>
  <si>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</si>
  <si>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</si>
  <si>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</si>
  <si>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</si>
  <si>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</si>
  <si>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</si>
  <si>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</si>
  <si>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</si>
  <si>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</si>
  <si>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</si>
  <si>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</si>
  <si>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</si>
  <si>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</si>
  <si>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</si>
  <si>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</si>
  <si>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</si>
  <si>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</si>
  <si>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</si>
  <si>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</si>
  <si>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</si>
  <si>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</si>
  <si>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</si>
  <si>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</si>
  <si>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</si>
  <si>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</si>
  <si>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</si>
  <si>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</si>
  <si>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</si>
  <si>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</si>
  <si>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</si>
  <si>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</si>
  <si>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</si>
  <si>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</si>
  <si>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</si>
  <si>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</si>
  <si>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</si>
  <si>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</si>
  <si>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</si>
  <si>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</si>
  <si>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</si>
  <si>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</si>
  <si>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</si>
  <si>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</si>
  <si>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</si>
  <si>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</si>
  <si>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</si>
  <si>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</si>
  <si>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</si>
  <si>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</si>
  <si>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</si>
  <si>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</si>
  <si>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</si>
  <si>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</si>
  <si>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</si>
  <si>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</si>
  <si>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</si>
  <si>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</si>
  <si>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</si>
  <si>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</si>
  <si>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</si>
  <si>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</si>
  <si>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</si>
  <si>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</si>
  <si>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</si>
  <si>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</si>
  <si>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</si>
  <si>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</si>
  <si>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</si>
  <si>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</si>
  <si>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</si>
  <si>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</si>
  <si>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</si>
  <si>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</si>
  <si>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</si>
  <si>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</si>
  <si>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</si>
  <si>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</si>
  <si>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</si>
  <si>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</si>
  <si>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</si>
  <si>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</si>
  <si>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</si>
  <si>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</si>
  <si>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</si>
  <si>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</si>
  <si>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</si>
  <si>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</si>
  <si>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</si>
  <si>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</si>
  <si>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</si>
  <si>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</si>
  <si>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</si>
  <si>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</si>
  <si>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</si>
  <si>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</si>
  <si>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</si>
  <si>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</si>
  <si>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</si>
  <si>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</si>
  <si>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</si>
  <si>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</si>
  <si>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</si>
  <si>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</si>
  <si>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</si>
  <si>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</si>
  <si>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</si>
  <si>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</si>
  <si>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</si>
  <si>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</si>
  <si>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</si>
  <si>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</si>
  <si>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</si>
  <si>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</si>
  <si>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</si>
  <si>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</si>
  <si>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</si>
  <si>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</si>
  <si>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</si>
  <si>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</si>
  <si>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</si>
  <si>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</si>
  <si>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</si>
  <si>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</si>
  <si>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</si>
  <si>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</si>
  <si>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</si>
  <si>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</si>
  <si>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</si>
  <si>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</si>
  <si>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</si>
  <si>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</si>
  <si>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</si>
  <si>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</si>
  <si>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</si>
  <si>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</si>
  <si>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</si>
  <si>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</si>
  <si>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</si>
  <si>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</si>
  <si>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</si>
  <si>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</si>
  <si>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</si>
  <si>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</si>
  <si>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</si>
  <si>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</si>
  <si>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</si>
  <si>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</si>
  <si>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</si>
  <si>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</si>
  <si>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</si>
  <si>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</si>
  <si>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</si>
  <si>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</si>
  <si>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</si>
  <si>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</si>
  <si>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</si>
  <si>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</si>
  <si>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</si>
  <si>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</si>
  <si>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</si>
  <si>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</si>
  <si>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</si>
  <si>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</si>
  <si>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</si>
  <si>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</si>
  <si>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</si>
  <si>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</si>
  <si>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</si>
  <si>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</si>
  <si>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</si>
  <si>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</si>
  <si>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</si>
  <si>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</si>
  <si>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</si>
  <si>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</si>
  <si>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</si>
  <si>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</si>
  <si>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</si>
  <si>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</si>
  <si>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</si>
  <si>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</si>
  <si>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</si>
  <si>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</si>
  <si>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</si>
  <si>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</si>
  <si>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</si>
  <si>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</si>
  <si>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</si>
  <si>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</si>
  <si>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</si>
  <si>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</si>
  <si>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</si>
  <si>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</si>
  <si>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</si>
  <si>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</si>
  <si>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</si>
  <si>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</si>
  <si>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</si>
  <si>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</si>
  <si>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</si>
  <si>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</si>
  <si>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</si>
  <si>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</si>
  <si>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</si>
  <si>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</si>
  <si>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</si>
  <si>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</si>
  <si>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</si>
  <si>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</si>
  <si>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</si>
  <si>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</si>
  <si>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</si>
  <si>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</si>
  <si>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</si>
  <si>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</si>
  <si>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</si>
  <si>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</si>
  <si>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</si>
  <si>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</si>
  <si>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</si>
  <si>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</si>
  <si>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</si>
  <si>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</si>
  <si>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</si>
  <si>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</si>
  <si>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</si>
  <si>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</si>
  <si>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</si>
  <si>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</si>
  <si>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</si>
  <si>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</si>
  <si>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</si>
  <si>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</si>
  <si>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</si>
  <si>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</si>
  <si>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</si>
  <si>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</si>
  <si>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</si>
  <si>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</si>
  <si>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</si>
  <si>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</si>
  <si>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</si>
  <si>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</si>
  <si>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</si>
  <si>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</si>
  <si>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</si>
  <si>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</si>
  <si>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</si>
  <si>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</si>
  <si>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</si>
  <si>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</si>
  <si>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</si>
  <si>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</si>
  <si>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</si>
  <si>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</si>
  <si>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</si>
  <si>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</si>
  <si>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</si>
  <si>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</si>
  <si>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</si>
  <si>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</si>
  <si>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</si>
  <si>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</si>
  <si>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</si>
  <si>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</si>
  <si>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</si>
  <si>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</si>
  <si>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</si>
  <si>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</si>
  <si>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</si>
  <si>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</si>
  <si>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</si>
  <si>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</si>
  <si>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</si>
  <si>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</si>
  <si>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</si>
  <si>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</si>
  <si>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</si>
  <si>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</si>
  <si>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</si>
  <si>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</si>
  <si>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</si>
  <si>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</si>
  <si>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</si>
  <si>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</si>
  <si>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</si>
  <si>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</si>
  <si>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</si>
  <si>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</si>
  <si>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</si>
  <si>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</si>
  <si>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</si>
  <si>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</si>
  <si>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</si>
  <si>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</si>
  <si>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</si>
  <si>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</si>
  <si>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</si>
  <si>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</si>
  <si>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</si>
  <si>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</si>
  <si>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</si>
  <si>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</si>
  <si>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</si>
  <si>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</si>
  <si>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</si>
  <si>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</si>
  <si>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</si>
  <si>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</si>
  <si>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</si>
  <si>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</si>
  <si>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</si>
  <si>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</si>
  <si>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</si>
  <si>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</si>
  <si>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</si>
  <si>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</si>
  <si>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</si>
  <si>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</si>
  <si>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</si>
  <si>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</si>
  <si>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</si>
  <si>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</si>
  <si>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</si>
  <si>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</si>
  <si>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</si>
  <si>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</si>
  <si>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</si>
  <si>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</si>
  <si>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</si>
  <si>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</si>
  <si>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</si>
  <si>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</si>
  <si>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</si>
  <si>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</si>
  <si>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</si>
  <si>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</si>
  <si>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</si>
  <si>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</si>
  <si>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</si>
  <si>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</si>
  <si>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</si>
  <si>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</si>
  <si>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</si>
  <si>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</si>
  <si>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</si>
  <si>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</si>
  <si>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</si>
  <si>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</si>
  <si>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</si>
  <si>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</si>
  <si>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</si>
  <si>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</si>
  <si>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</si>
  <si>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</si>
  <si>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</si>
  <si>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</si>
  <si>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</si>
  <si>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</si>
  <si>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</si>
  <si>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</si>
  <si>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</si>
  <si>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</si>
  <si>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</si>
  <si>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</si>
  <si>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</si>
  <si>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</si>
  <si>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</si>
  <si>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</si>
  <si>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</si>
  <si>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</si>
  <si>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</si>
  <si>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</si>
  <si>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</si>
  <si>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</si>
  <si>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</si>
  <si>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</si>
  <si>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</si>
  <si>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</si>
  <si>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</si>
  <si>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</si>
  <si>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</si>
  <si>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</si>
  <si>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</si>
  <si>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</si>
  <si>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</si>
  <si>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</si>
  <si>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</si>
  <si>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</si>
  <si>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</si>
  <si>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</si>
  <si>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</si>
  <si>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</si>
  <si>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</si>
  <si>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</si>
  <si>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</si>
  <si>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</si>
  <si>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</si>
  <si>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</si>
  <si>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</si>
  <si>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</si>
  <si>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</si>
  <si>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</si>
  <si>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</si>
  <si>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</si>
  <si>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</si>
  <si>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</si>
  <si>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</si>
  <si>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</si>
  <si>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</si>
  <si>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</si>
  <si>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</si>
  <si>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</si>
  <si>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</si>
  <si>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</si>
  <si>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</si>
  <si>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</si>
  <si>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</si>
  <si>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</si>
  <si>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</si>
  <si>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</si>
  <si>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</si>
  <si>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</si>
  <si>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</si>
  <si>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</si>
  <si>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</si>
  <si>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</si>
  <si>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</si>
  <si>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</si>
  <si>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</si>
  <si>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</si>
  <si>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</si>
  <si>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</si>
  <si>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</si>
  <si>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</si>
  <si>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</si>
  <si>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</si>
  <si>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</si>
  <si>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</si>
  <si>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</si>
  <si>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</si>
  <si>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</si>
  <si>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</si>
  <si>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</si>
  <si>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</si>
  <si>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</si>
  <si>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</si>
  <si>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</si>
  <si>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</si>
  <si>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</si>
  <si>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</si>
  <si>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</si>
  <si>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</si>
  <si>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</si>
  <si>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</si>
  <si>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</si>
  <si>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</si>
  <si>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</si>
  <si>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</si>
  <si>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</si>
  <si>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</si>
  <si>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</si>
  <si>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</si>
  <si>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</si>
  <si>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</si>
  <si>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</si>
  <si>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</si>
  <si>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</si>
  <si>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</si>
  <si>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</si>
  <si>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</si>
  <si>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</si>
  <si>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</si>
  <si>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</si>
  <si>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</si>
  <si>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</si>
  <si>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</si>
  <si>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</si>
  <si>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</si>
  <si>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</si>
  <si>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</si>
  <si>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</si>
  <si>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</si>
  <si>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</si>
  <si>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</si>
  <si>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</si>
  <si>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</si>
  <si>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</si>
  <si>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</si>
  <si>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</si>
  <si>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</si>
  <si>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</si>
  <si>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</si>
  <si>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</si>
  <si>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</si>
  <si>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</si>
  <si>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</si>
  <si>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</si>
  <si>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</si>
  <si>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</si>
  <si>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</si>
  <si>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</si>
  <si>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</si>
  <si>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</si>
  <si>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</si>
  <si>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</si>
  <si>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</si>
  <si>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</si>
  <si>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</si>
  <si>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</si>
  <si>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</si>
  <si>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</si>
  <si>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</si>
  <si>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</si>
  <si>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</si>
  <si>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</si>
  <si>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</si>
  <si>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</si>
  <si>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</si>
  <si>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</si>
  <si>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</si>
  <si>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</si>
  <si>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</si>
  <si>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</si>
  <si>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</si>
  <si>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</si>
  <si>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</si>
  <si>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</si>
  <si>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</si>
  <si>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</si>
  <si>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</si>
  <si>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</si>
  <si>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</si>
  <si>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</si>
  <si>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</si>
  <si>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</si>
  <si>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</si>
  <si>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</si>
  <si>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</si>
  <si>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</si>
  <si>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</si>
  <si>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</si>
  <si>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</si>
  <si>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</si>
  <si>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</si>
  <si>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</si>
  <si>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</si>
  <si>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</si>
  <si>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</si>
  <si>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</si>
  <si>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</si>
  <si>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</si>
  <si>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</si>
  <si>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</si>
  <si>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</si>
  <si>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</si>
  <si>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</si>
  <si>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</si>
  <si>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</si>
  <si>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</si>
  <si>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</si>
  <si>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</si>
  <si>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</si>
  <si>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</si>
  <si>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</si>
  <si>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</si>
  <si>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</si>
  <si>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</si>
  <si>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</si>
  <si>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</si>
  <si>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</si>
  <si>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</si>
  <si>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</si>
  <si>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</si>
  <si>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</si>
  <si>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</si>
  <si>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</si>
  <si>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</si>
  <si>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</si>
  <si>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</si>
  <si>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</si>
  <si>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</si>
  <si>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</si>
  <si>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</si>
  <si>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</si>
  <si>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</si>
  <si>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</si>
  <si>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</si>
  <si>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</si>
  <si>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</si>
  <si>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</si>
  <si>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</si>
  <si>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</si>
  <si>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</si>
  <si>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</si>
  <si>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</si>
  <si>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</si>
  <si>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</si>
  <si>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</si>
  <si>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</si>
  <si>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</si>
  <si>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</si>
  <si>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</si>
  <si>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</si>
  <si>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</si>
  <si>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</si>
  <si>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</si>
  <si>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</si>
  <si>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</si>
  <si>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</si>
  <si>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</si>
  <si>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</si>
  <si>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</si>
  <si>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</si>
  <si>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</si>
  <si>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</si>
  <si>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</si>
  <si>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</si>
  <si>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</si>
  <si>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</si>
  <si>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</si>
  <si>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</si>
  <si>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</si>
  <si>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</si>
  <si>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</si>
  <si>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</si>
  <si>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</si>
  <si>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</si>
  <si>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</si>
  <si>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</si>
  <si>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</si>
  <si>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</si>
  <si>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</si>
  <si>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</si>
  <si>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</si>
  <si>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</si>
  <si>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</si>
  <si>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</si>
  <si>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</si>
  <si>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</si>
  <si>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</si>
  <si>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</si>
  <si>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</si>
  <si>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</si>
  <si>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</si>
  <si>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</si>
  <si>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</si>
  <si>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</si>
  <si>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</si>
  <si>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</si>
  <si>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</si>
  <si>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</si>
  <si>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</si>
  <si>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</si>
  <si>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</si>
  <si>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</si>
  <si>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</si>
  <si>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</si>
  <si>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</si>
  <si>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</si>
  <si>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</si>
  <si>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</si>
  <si>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</si>
  <si>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</si>
  <si>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</si>
  <si>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</si>
  <si>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</si>
  <si>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</si>
  <si>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</si>
  <si>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</si>
  <si>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</si>
  <si>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</si>
  <si>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</si>
  <si>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</si>
  <si>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</si>
  <si>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</si>
  <si>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</si>
  <si>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</si>
  <si>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</si>
  <si>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</si>
  <si>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</si>
  <si>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</si>
  <si>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</si>
  <si>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</si>
  <si>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</si>
  <si>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</si>
  <si>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</si>
  <si>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</si>
  <si>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</si>
  <si>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</si>
  <si>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</si>
  <si>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</si>
  <si>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</si>
  <si>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</si>
  <si>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</si>
  <si>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</si>
  <si>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</si>
  <si>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</si>
  <si>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</si>
  <si>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</si>
  <si>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</si>
  <si>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</si>
  <si>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</si>
  <si>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</si>
  <si>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</si>
  <si>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</si>
  <si>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</si>
  <si>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</si>
  <si>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</si>
  <si>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</si>
  <si>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</si>
  <si>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</si>
  <si>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</si>
  <si>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</si>
  <si>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</si>
  <si>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</si>
  <si>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</si>
  <si>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</si>
  <si>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</si>
  <si>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</si>
  <si>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</si>
  <si>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</si>
  <si>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</si>
  <si>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</si>
  <si>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</si>
  <si>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</si>
  <si>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</si>
  <si>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</si>
  <si>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</si>
  <si>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</si>
  <si>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</si>
  <si>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</si>
  <si>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</si>
  <si>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</si>
  <si>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</si>
  <si>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</si>
  <si>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</si>
  <si>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</si>
  <si>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</si>
  <si>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</si>
  <si>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</si>
  <si>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</si>
  <si>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</si>
  <si>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</si>
  <si>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</si>
  <si>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</si>
  <si>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</si>
  <si>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</si>
  <si>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</si>
  <si>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</si>
  <si>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</si>
  <si>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</si>
  <si>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</si>
  <si>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</si>
  <si>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</si>
  <si>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</si>
  <si>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</si>
  <si>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</si>
  <si>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</si>
  <si>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</si>
  <si>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</si>
  <si>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</si>
  <si>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</si>
  <si>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</si>
  <si>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</si>
  <si>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</si>
  <si>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</si>
  <si>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</si>
  <si>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</si>
  <si>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</si>
  <si>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</si>
  <si>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</si>
  <si>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</si>
  <si>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</si>
  <si>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</si>
  <si>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</si>
  <si>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</si>
  <si>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</si>
  <si>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</si>
  <si>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</si>
  <si>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</si>
  <si>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</si>
  <si>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</si>
  <si>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</si>
  <si>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</si>
  <si>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</si>
  <si>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</si>
  <si>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</si>
  <si>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</si>
  <si>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</si>
  <si>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</si>
  <si>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</si>
  <si>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</si>
  <si>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</si>
  <si>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</si>
  <si>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</si>
  <si>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</si>
  <si>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</si>
  <si>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</si>
  <si>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</si>
  <si>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</si>
  <si>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</si>
  <si>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</si>
  <si>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</si>
  <si>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</si>
  <si>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</si>
  <si>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</si>
  <si>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</si>
  <si>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</si>
  <si>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</si>
  <si>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</si>
  <si>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</si>
  <si>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</si>
  <si>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</si>
  <si>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</si>
  <si>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</si>
  <si>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</si>
  <si>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</si>
  <si>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</si>
  <si>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</si>
  <si>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</si>
  <si>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</si>
  <si>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</si>
  <si>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</si>
  <si>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</si>
  <si>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</si>
  <si>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</si>
  <si>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</si>
  <si>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</si>
  <si>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</si>
  <si>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</si>
  <si>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</si>
  <si>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</si>
  <si>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</si>
  <si>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</si>
  <si>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</si>
  <si>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</si>
  <si>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</si>
  <si>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</si>
  <si>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</si>
  <si>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</si>
  <si>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</si>
  <si>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</si>
  <si>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</si>
  <si>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</si>
  <si>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</si>
  <si>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</si>
  <si>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</si>
  <si>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</si>
  <si>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</si>
  <si>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</si>
  <si>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</si>
  <si>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</si>
  <si>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</si>
  <si>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</si>
  <si>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</si>
  <si>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</si>
  <si>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</si>
  <si>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</si>
  <si>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</si>
  <si>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</si>
  <si>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</si>
  <si>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</si>
  <si>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</si>
  <si>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</si>
  <si>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</si>
  <si>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</si>
  <si>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</si>
  <si>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</si>
  <si>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</si>
  <si>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</si>
  <si>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</si>
  <si>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</si>
  <si>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</si>
  <si>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</si>
  <si>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</si>
  <si>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</si>
  <si>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</si>
  <si>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</si>
  <si>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</si>
  <si>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</si>
  <si>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</si>
  <si>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</si>
  <si>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</si>
  <si>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</si>
  <si>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</si>
  <si>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</si>
  <si>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</si>
  <si>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</si>
  <si>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</si>
  <si>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</si>
  <si>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</si>
  <si>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</si>
  <si>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</si>
  <si>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</si>
  <si>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</si>
  <si>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</si>
  <si>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</si>
  <si>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</si>
  <si>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</si>
  <si>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</si>
  <si>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</si>
  <si>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</si>
  <si>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</si>
  <si>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</si>
  <si>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</si>
  <si>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</si>
  <si>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</si>
  <si>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</si>
  <si>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</si>
  <si>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</si>
  <si>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</si>
  <si>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</si>
  <si>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</si>
  <si>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</si>
  <si>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</si>
  <si>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</si>
  <si>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</si>
  <si>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</si>
  <si>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</si>
  <si>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</si>
  <si>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</si>
  <si>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</si>
  <si>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</si>
  <si>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</si>
  <si>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</si>
  <si>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</si>
  <si>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</si>
  <si>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</si>
  <si>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</si>
  <si>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</si>
  <si>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</si>
  <si>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</si>
  <si>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</si>
  <si>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</si>
  <si>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</si>
  <si>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</si>
  <si>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</si>
  <si>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</si>
  <si>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</si>
  <si>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</si>
  <si>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</si>
  <si>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</si>
  <si>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</si>
  <si>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</si>
  <si>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</si>
  <si>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</si>
  <si>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</si>
  <si>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</si>
  <si>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</si>
  <si>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</si>
  <si>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</si>
  <si>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</si>
  <si>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</si>
  <si>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</si>
  <si>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</si>
  <si>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</si>
  <si>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</si>
  <si>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</si>
  <si>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</si>
  <si>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</si>
  <si>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</si>
  <si>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</si>
  <si>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</si>
  <si>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</si>
  <si>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</si>
  <si>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</si>
  <si>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</si>
  <si>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</si>
  <si>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</si>
  <si>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</si>
  <si>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</si>
  <si>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</si>
  <si>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</si>
  <si>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</si>
  <si>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</si>
  <si>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</si>
  <si>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</si>
  <si>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</si>
  <si>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</si>
  <si>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</si>
  <si>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</si>
  <si>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</si>
  <si>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</si>
  <si>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</si>
  <si>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</si>
  <si>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</si>
  <si>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</si>
  <si>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</si>
  <si>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</si>
  <si>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</si>
  <si>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</si>
  <si>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</si>
  <si>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</si>
  <si>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</si>
  <si>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</si>
  <si>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</si>
  <si>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</si>
  <si>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</si>
  <si>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</si>
  <si>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</si>
  <si>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</si>
  <si>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</si>
  <si>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</si>
  <si>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</si>
  <si>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</si>
  <si>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</si>
  <si>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</si>
  <si>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</si>
  <si>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</si>
  <si>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</si>
  <si>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</si>
  <si>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</si>
  <si>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</si>
  <si>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</si>
  <si>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</si>
  <si>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</si>
  <si>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</si>
  <si>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</si>
  <si>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</si>
  <si>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</si>
  <si>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</si>
  <si>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</si>
  <si>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</si>
  <si>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</si>
  <si>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</si>
  <si>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</si>
  <si>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</si>
  <si>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</si>
  <si>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</si>
  <si>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</si>
  <si>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</si>
  <si>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</si>
  <si>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</si>
  <si>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</si>
  <si>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</si>
  <si>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</si>
  <si>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</si>
  <si>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</si>
  <si>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</si>
  <si>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</si>
  <si>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</si>
  <si>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</si>
  <si>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</si>
  <si>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</si>
  <si>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</si>
  <si>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</si>
  <si>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</si>
  <si>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</si>
  <si>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</si>
  <si>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</si>
  <si>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</si>
  <si>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</si>
  <si>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</si>
  <si>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</si>
  <si>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</si>
  <si>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</si>
  <si>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</si>
  <si>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</si>
  <si>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</si>
  <si>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</si>
  <si>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</si>
  <si>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</si>
  <si>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</si>
  <si>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</si>
  <si>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</si>
  <si>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</si>
  <si>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</si>
  <si>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</si>
  <si>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</si>
  <si>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</si>
  <si>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</si>
  <si>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</si>
  <si>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</si>
  <si>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</si>
  <si>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</si>
  <si>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</si>
  <si>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</si>
  <si>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</si>
  <si>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</si>
  <si>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</si>
  <si>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</si>
  <si>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</si>
  <si>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</si>
  <si>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</si>
  <si>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</si>
  <si>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</si>
  <si>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</si>
  <si>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</si>
  <si>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</si>
  <si>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</si>
  <si>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</si>
  <si>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</si>
  <si>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</si>
  <si>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</si>
  <si>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</si>
  <si>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</si>
  <si>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</si>
  <si>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</si>
  <si>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</si>
  <si>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</si>
  <si>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</si>
  <si>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</si>
  <si>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</si>
  <si>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</si>
  <si>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</si>
  <si>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</si>
  <si>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</si>
  <si>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</si>
  <si>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</si>
  <si>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</si>
  <si>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</si>
  <si>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</si>
  <si>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</si>
  <si>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</si>
  <si>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</si>
  <si>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</si>
  <si>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</si>
  <si>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</si>
  <si>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</si>
  <si>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</si>
  <si>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</si>
  <si>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</si>
  <si>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</si>
  <si>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</si>
  <si>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</si>
  <si>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</si>
  <si>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</si>
  <si>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</si>
  <si>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</si>
  <si>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</si>
  <si>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</si>
  <si>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</si>
  <si>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</si>
  <si>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</si>
  <si>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</si>
  <si>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</si>
  <si>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</si>
  <si>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</si>
  <si>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</si>
  <si>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</si>
  <si>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</si>
  <si>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</si>
  <si>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</si>
  <si>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</si>
  <si>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</si>
  <si>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</si>
  <si>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</si>
  <si>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</si>
  <si>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</si>
  <si>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</si>
  <si>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</si>
  <si>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</si>
  <si>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</si>
  <si>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</si>
  <si>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</si>
  <si>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</si>
  <si>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</si>
  <si>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</si>
  <si>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</si>
  <si>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</si>
  <si>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</si>
  <si>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</si>
  <si>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</si>
  <si>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</si>
  <si>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</si>
  <si>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</si>
  <si>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</si>
  <si>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</si>
  <si>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</si>
  <si>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</si>
  <si>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</si>
  <si>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</si>
  <si>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</si>
  <si>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</si>
  <si>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</si>
  <si>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</si>
  <si>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</si>
  <si>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</si>
  <si>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</si>
  <si>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</si>
  <si>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</si>
  <si>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</si>
  <si>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</si>
  <si>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</si>
  <si>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</si>
  <si>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</si>
  <si>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</si>
  <si>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</si>
  <si>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</si>
  <si>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</si>
  <si>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</si>
  <si>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</si>
  <si>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</si>
  <si>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</si>
  <si>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</si>
  <si>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</si>
  <si>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</si>
  <si>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</si>
  <si>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</si>
  <si>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</si>
  <si>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</si>
  <si>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</si>
  <si>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</si>
  <si>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</si>
  <si>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</si>
  <si>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</si>
  <si>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</si>
  <si>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</si>
  <si>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</si>
  <si>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</si>
  <si>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</si>
  <si>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</si>
  <si>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</si>
  <si>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</si>
  <si>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</si>
  <si>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</si>
  <si>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</si>
  <si>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</si>
  <si>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</si>
  <si>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</si>
  <si>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</si>
  <si>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</si>
  <si>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</si>
  <si>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</si>
  <si>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</si>
  <si>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</si>
  <si>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</si>
  <si>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</si>
  <si>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</si>
  <si>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</si>
  <si>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</si>
  <si>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</si>
  <si>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</si>
  <si>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</si>
  <si>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</si>
  <si>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</si>
  <si>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</si>
  <si>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</si>
  <si>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</si>
  <si>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</si>
  <si>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</si>
  <si>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</si>
  <si>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</si>
  <si>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</si>
  <si>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</si>
  <si>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</si>
  <si>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</si>
  <si>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</si>
  <si>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</si>
  <si>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</si>
  <si>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</si>
  <si>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</si>
  <si>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</si>
  <si>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</si>
  <si>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</si>
  <si>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</si>
  <si>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</si>
  <si>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</si>
  <si>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</si>
  <si>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</si>
  <si>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</si>
  <si>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</si>
  <si>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</si>
  <si>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</si>
  <si>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</si>
  <si>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</si>
  <si>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</si>
  <si>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</si>
  <si>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</si>
  <si>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</si>
  <si>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</si>
  <si>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</si>
  <si>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</si>
  <si>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</si>
  <si>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</si>
  <si>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</si>
  <si>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</si>
  <si>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</si>
  <si>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</si>
  <si>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</si>
  <si>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</si>
  <si>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</si>
  <si>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</si>
  <si>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</si>
  <si>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</si>
  <si>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</si>
  <si>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</si>
  <si>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</si>
  <si>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</si>
  <si>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</si>
  <si>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</si>
  <si>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</si>
  <si>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</si>
  <si>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</si>
  <si>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</si>
  <si>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</si>
  <si>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</si>
  <si>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</si>
  <si>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</si>
  <si>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</si>
  <si>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</si>
  <si>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</si>
  <si>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</si>
  <si>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</si>
  <si>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</si>
  <si>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</si>
  <si>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</si>
  <si>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</si>
  <si>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</si>
  <si>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</si>
  <si>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</si>
  <si>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</si>
  <si>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</si>
  <si>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</si>
  <si>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</si>
  <si>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</si>
  <si>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</si>
  <si>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</si>
  <si>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</si>
  <si>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</si>
  <si>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</si>
  <si>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</si>
  <si>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</si>
  <si>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</si>
  <si>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</si>
  <si>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</si>
  <si>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</si>
  <si>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</si>
  <si>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</si>
  <si>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</si>
  <si>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</si>
  <si>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</si>
  <si>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</si>
  <si>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</si>
  <si>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</si>
  <si>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</si>
  <si>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</si>
  <si>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</si>
  <si>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</si>
  <si>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</si>
  <si>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</si>
  <si>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</si>
  <si>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</si>
  <si>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</si>
  <si>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</si>
  <si>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</si>
  <si>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</si>
  <si>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</si>
  <si>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</si>
  <si>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</si>
  <si>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</si>
  <si>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</si>
  <si>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</si>
  <si>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</si>
  <si>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</si>
  <si>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</si>
  <si>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</si>
  <si>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</si>
  <si>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</si>
  <si>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</si>
  <si>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</si>
  <si>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</si>
  <si>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</si>
  <si>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</si>
  <si>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</si>
  <si>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</si>
  <si>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</si>
  <si>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</si>
  <si>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</si>
  <si>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</si>
  <si>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</si>
  <si>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</si>
  <si>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</si>
  <si>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</si>
  <si>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</si>
  <si>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</si>
  <si>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</si>
  <si>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</si>
  <si>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</si>
  <si>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</si>
  <si>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</si>
  <si>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</si>
  <si>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</si>
  <si>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</si>
  <si>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</si>
  <si>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</si>
  <si>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</si>
  <si>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</si>
  <si>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</si>
  <si>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</si>
  <si>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</si>
  <si>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</si>
  <si>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</si>
  <si>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</si>
  <si>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</si>
  <si>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</si>
  <si>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</si>
  <si>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</si>
  <si>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</si>
  <si>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</si>
  <si>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</si>
  <si>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</si>
  <si>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</si>
  <si>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</si>
  <si>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</si>
  <si>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</si>
  <si>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</si>
  <si>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</si>
  <si>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</si>
  <si>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</si>
  <si>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</si>
  <si>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</si>
  <si>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</si>
  <si>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</si>
  <si>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</si>
  <si>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</si>
  <si>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</si>
  <si>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</si>
  <si>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</si>
  <si>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</si>
  <si>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</si>
  <si>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</si>
  <si>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</si>
  <si>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</si>
  <si>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</si>
  <si>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</si>
  <si>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</si>
  <si>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</si>
  <si>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</si>
  <si>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</si>
  <si>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</si>
  <si>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</si>
  <si>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</si>
  <si>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</si>
  <si>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</si>
  <si>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</si>
  <si>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</si>
  <si>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</si>
  <si>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</si>
  <si>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</si>
  <si>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</si>
  <si>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</si>
  <si>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</si>
  <si>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</si>
  <si>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</si>
  <si>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</si>
  <si>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</si>
  <si>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</si>
  <si>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</si>
  <si>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</si>
  <si>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</si>
  <si>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</si>
  <si>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</si>
  <si>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</si>
  <si>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</si>
  <si>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</si>
  <si>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</si>
  <si>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</si>
  <si>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</si>
  <si>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</si>
  <si>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</si>
  <si>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</si>
  <si>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</si>
  <si>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</si>
  <si>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</si>
  <si>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</si>
  <si>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</si>
  <si>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</si>
  <si>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</si>
  <si>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</si>
  <si>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</si>
  <si>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</si>
  <si>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</si>
  <si>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</si>
  <si>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</si>
  <si>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</si>
  <si>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</si>
  <si>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</si>
  <si>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</si>
  <si>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</si>
  <si>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</si>
  <si>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</si>
  <si>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</si>
  <si>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</si>
  <si>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</si>
  <si>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</si>
  <si>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</si>
  <si>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</si>
  <si>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</si>
  <si>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</si>
  <si>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</si>
  <si>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</si>
  <si>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</si>
  <si>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</si>
  <si>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</si>
  <si>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</si>
  <si>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</si>
  <si>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</si>
  <si>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</si>
  <si>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</si>
  <si>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</si>
  <si>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</si>
  <si>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</si>
  <si>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</si>
  <si>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</si>
  <si>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</si>
  <si>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</si>
  <si>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</si>
  <si>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</si>
  <si>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</si>
  <si>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</si>
  <si>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</si>
  <si>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</si>
  <si>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</si>
  <si>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</si>
  <si>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</si>
  <si>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</si>
  <si>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</si>
  <si>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</si>
  <si>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</si>
  <si>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</si>
  <si>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</si>
  <si>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</si>
  <si>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</si>
  <si>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</si>
  <si>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</si>
  <si>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</si>
  <si>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</si>
  <si>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</si>
  <si>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</si>
  <si>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</si>
  <si>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</si>
  <si>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</si>
  <si>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</si>
  <si>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</si>
  <si>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</si>
  <si>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</si>
  <si>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</si>
  <si>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</si>
  <si>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</si>
  <si>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</si>
  <si>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</si>
  <si>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</si>
  <si>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</si>
  <si>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</si>
  <si>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</si>
  <si>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</si>
  <si>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</si>
  <si>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</si>
  <si>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</si>
  <si>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</si>
  <si>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</si>
  <si>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</si>
  <si>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</si>
  <si>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</si>
  <si>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</si>
  <si>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</si>
  <si>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</si>
  <si>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</si>
  <si>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</si>
  <si>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</si>
  <si>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</si>
  <si>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</si>
  <si>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</si>
  <si>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</si>
  <si>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</si>
  <si>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</si>
  <si>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</si>
  <si>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</si>
  <si>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</si>
  <si>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</si>
  <si>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</si>
  <si>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</si>
  <si>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</si>
  <si>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</si>
  <si>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</si>
  <si>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</si>
  <si>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</si>
  <si>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</si>
  <si>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</si>
  <si>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</si>
  <si>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</si>
  <si>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</si>
  <si>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</si>
  <si>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</si>
  <si>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</si>
  <si>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</si>
  <si>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</si>
  <si>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</si>
  <si>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</si>
  <si>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</si>
  <si>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</si>
  <si>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</si>
  <si>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</si>
  <si>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</si>
  <si>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</si>
  <si>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</si>
  <si>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</si>
  <si>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</si>
  <si>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</si>
  <si>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</si>
  <si>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</si>
  <si>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</si>
  <si>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</si>
  <si>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</si>
  <si>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</si>
  <si>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</si>
  <si>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</si>
  <si>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</si>
  <si>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</si>
  <si>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</si>
  <si>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</si>
  <si>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</si>
  <si>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</si>
  <si>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</si>
  <si>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</si>
  <si>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</si>
  <si>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</si>
  <si>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</si>
  <si>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</si>
  <si>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</si>
  <si>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</si>
  <si>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</si>
  <si>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</si>
  <si>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</si>
  <si>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</si>
  <si>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</si>
  <si>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</si>
  <si>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</si>
  <si>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</si>
  <si>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</si>
  <si>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</si>
  <si>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</si>
  <si>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</si>
  <si>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</si>
  <si>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</si>
  <si>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</si>
  <si>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</si>
  <si>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</si>
  <si>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</si>
  <si>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</si>
  <si>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</si>
  <si>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</si>
  <si>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</si>
  <si>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</si>
  <si>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</si>
  <si>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</si>
  <si>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</si>
  <si>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</si>
  <si>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</si>
  <si>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</si>
  <si>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</si>
  <si>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</si>
  <si>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</si>
  <si>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</si>
  <si>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</si>
  <si>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</si>
  <si>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</si>
  <si>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</si>
  <si>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</si>
  <si>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</si>
  <si>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</si>
  <si>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</si>
  <si>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</si>
  <si>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</si>
  <si>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</si>
  <si>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</si>
  <si>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</si>
  <si>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</si>
  <si>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</si>
  <si>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</si>
  <si>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</si>
  <si>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</si>
  <si>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</si>
  <si>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</si>
  <si>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</si>
  <si>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</si>
  <si>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</si>
  <si>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</si>
  <si>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</si>
  <si>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</si>
  <si>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</si>
  <si>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</si>
  <si>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</si>
  <si>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</si>
  <si>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</si>
  <si>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</si>
  <si>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</si>
  <si>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</si>
  <si>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</si>
  <si>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</si>
  <si>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</si>
  <si>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</si>
  <si>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</si>
  <si>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</si>
  <si>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</si>
  <si>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</si>
  <si>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</si>
  <si>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</si>
  <si>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</si>
  <si>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</si>
  <si>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</si>
  <si>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</si>
  <si>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</si>
  <si>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</si>
  <si>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</si>
  <si>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</si>
  <si>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</si>
  <si>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</si>
  <si>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</si>
  <si>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</si>
  <si>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</si>
  <si>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</si>
  <si>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</si>
  <si>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</si>
  <si>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</si>
  <si>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</si>
  <si>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</si>
  <si>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</si>
  <si>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</si>
  <si>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</si>
  <si>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</si>
  <si>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</si>
  <si>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</si>
  <si>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</si>
  <si>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</si>
  <si>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</si>
  <si>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</si>
  <si>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</si>
  <si>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</si>
  <si>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</si>
  <si>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</si>
  <si>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</si>
  <si>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</si>
  <si>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</si>
  <si>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</si>
  <si>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</si>
  <si>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</si>
  <si>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</si>
  <si>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</si>
  <si>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</si>
  <si>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</si>
  <si>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</si>
  <si>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</si>
  <si>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</si>
  <si>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</si>
  <si>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</si>
  <si>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</si>
  <si>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</si>
  <si>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</si>
  <si>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</si>
  <si>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</si>
  <si>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</si>
  <si>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</si>
  <si>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</si>
  <si>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</si>
  <si>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</si>
  <si>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</si>
  <si>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</si>
  <si>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</si>
  <si>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</si>
  <si>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</si>
  <si>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</si>
  <si>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</si>
  <si>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</si>
  <si>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</si>
  <si>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</si>
  <si>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</si>
  <si>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</si>
  <si>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</si>
  <si>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</si>
  <si>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</si>
  <si>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</si>
  <si>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</si>
  <si>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</si>
  <si>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</si>
  <si>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</si>
  <si>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</si>
  <si>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</si>
  <si>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</si>
  <si>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</si>
  <si>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</si>
  <si>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</si>
  <si>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</si>
  <si>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</si>
  <si>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</si>
  <si>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</si>
  <si>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</si>
  <si>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</si>
  <si>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</si>
  <si>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</si>
  <si>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</si>
  <si>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</si>
  <si>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</si>
  <si>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</si>
  <si>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</si>
  <si>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</si>
  <si>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</si>
  <si>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</si>
  <si>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</si>
  <si>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</si>
  <si>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</si>
  <si>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</si>
  <si>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</si>
  <si>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</si>
  <si>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</si>
  <si>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</si>
  <si>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</si>
  <si>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</si>
  <si>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</si>
  <si>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</si>
  <si>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</si>
  <si>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</si>
  <si>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</si>
  <si>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</si>
  <si>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</si>
  <si>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</si>
  <si>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</si>
  <si>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</si>
  <si>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</si>
  <si>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</si>
  <si>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</si>
  <si>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</si>
  <si>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</si>
  <si>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</si>
  <si>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</si>
  <si>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</si>
  <si>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</si>
  <si>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</si>
  <si>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</si>
  <si>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</si>
  <si>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</si>
  <si>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</si>
  <si>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</si>
  <si>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</si>
  <si>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</si>
  <si>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</si>
  <si>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</si>
  <si>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</si>
  <si>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</si>
  <si>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</si>
  <si>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</si>
  <si>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</si>
  <si>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</si>
  <si>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</si>
  <si>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</si>
  <si>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</si>
  <si>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</si>
  <si>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</si>
  <si>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</si>
  <si>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</si>
  <si>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</si>
  <si>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</si>
  <si>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</si>
  <si>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</si>
  <si>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</si>
  <si>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</si>
  <si>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</si>
  <si>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</si>
  <si>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</si>
  <si>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</si>
  <si>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</si>
  <si>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</si>
  <si>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</si>
  <si>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</si>
  <si>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</si>
  <si>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</si>
  <si>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</si>
  <si>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</si>
  <si>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</si>
  <si>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</si>
  <si>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</si>
  <si>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</si>
  <si>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</si>
  <si>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</si>
  <si>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</si>
  <si>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</si>
  <si>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</si>
  <si>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</si>
  <si>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</si>
  <si>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</si>
  <si>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</si>
  <si>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</si>
  <si>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</si>
  <si>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</si>
  <si>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</si>
  <si>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</si>
  <si>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</si>
  <si>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</si>
  <si>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</si>
  <si>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</si>
  <si>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</si>
  <si>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</si>
  <si>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</si>
  <si>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</si>
  <si>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</si>
  <si>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</si>
  <si>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</si>
  <si>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</si>
  <si>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</si>
  <si>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</si>
  <si>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</si>
  <si>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</si>
  <si>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</si>
  <si>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</si>
  <si>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</si>
  <si>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</si>
  <si>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</si>
  <si>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</si>
  <si>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</si>
  <si>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</si>
  <si>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</si>
  <si>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</si>
  <si>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</si>
  <si>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</si>
  <si>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</si>
  <si>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</si>
  <si>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</si>
  <si>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</si>
  <si>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</si>
  <si>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</si>
  <si>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</si>
  <si>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</si>
  <si>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</si>
  <si>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</si>
  <si>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</si>
  <si>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</si>
  <si>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</si>
  <si>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</si>
  <si>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</si>
  <si>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</si>
  <si>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</si>
  <si>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</si>
  <si>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</si>
  <si>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</si>
  <si>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</si>
  <si>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</si>
  <si>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</si>
  <si>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</si>
  <si>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</si>
  <si>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</si>
  <si>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</si>
  <si>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</si>
  <si>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</si>
  <si>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</si>
  <si>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</si>
  <si>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</si>
  <si>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</si>
  <si>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</si>
  <si>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</si>
  <si>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</si>
  <si>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</si>
  <si>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</si>
  <si>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</si>
  <si>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</si>
  <si>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</si>
  <si>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</si>
  <si>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</si>
  <si>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</si>
  <si>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</si>
  <si>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</si>
  <si>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</si>
  <si>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</si>
  <si>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</si>
  <si>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</si>
  <si>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</si>
  <si>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</si>
  <si>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</si>
  <si>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</si>
  <si>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</si>
  <si>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</si>
  <si>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</si>
  <si>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</si>
  <si>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</si>
  <si>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</si>
  <si>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</si>
  <si>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</si>
  <si>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</si>
  <si>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</si>
  <si>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</si>
  <si>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</si>
  <si>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</si>
  <si>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</si>
  <si>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</si>
  <si>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</si>
  <si>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</si>
  <si>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</si>
  <si>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</si>
  <si>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</si>
  <si>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</si>
  <si>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</si>
  <si>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</si>
  <si>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</si>
  <si>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</si>
  <si>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</si>
  <si>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</si>
  <si>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</si>
  <si>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</si>
  <si>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</si>
  <si>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</si>
  <si>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</si>
  <si>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</si>
  <si>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</si>
  <si>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</si>
  <si>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</si>
  <si>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</si>
  <si>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</si>
  <si>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</si>
  <si>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</si>
  <si>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</si>
  <si>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</si>
  <si>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</si>
  <si>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</si>
  <si>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</si>
  <si>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</si>
  <si>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</si>
  <si>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</si>
  <si>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</si>
  <si>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</si>
  <si>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</si>
  <si>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</si>
  <si>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</si>
  <si>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</si>
  <si>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</si>
  <si>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</si>
  <si>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</si>
  <si>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</si>
  <si>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</si>
  <si>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</si>
  <si>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</si>
  <si>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</si>
  <si>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</si>
  <si>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</si>
  <si>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</si>
  <si>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</si>
  <si>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</si>
  <si>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</si>
  <si>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</si>
  <si>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</si>
  <si>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</si>
  <si>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</si>
  <si>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</si>
  <si>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</si>
  <si>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</si>
  <si>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</si>
  <si>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</si>
  <si>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</si>
  <si>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</si>
  <si>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</si>
  <si>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</si>
  <si>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</si>
  <si>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</si>
  <si>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</si>
  <si>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</si>
  <si>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</si>
  <si>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</si>
  <si>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</si>
  <si>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</si>
  <si>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</si>
  <si>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</si>
  <si>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</si>
  <si>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</si>
  <si>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</si>
  <si>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</si>
  <si>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</si>
  <si>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</si>
  <si>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</si>
  <si>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</si>
  <si>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</si>
  <si>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</si>
  <si>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</si>
  <si>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</si>
  <si>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</si>
  <si>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</si>
  <si>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</si>
  <si>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</si>
  <si>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</si>
  <si>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</si>
  <si>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</si>
  <si>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</si>
  <si>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</si>
  <si>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</si>
  <si>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</si>
  <si>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</si>
  <si>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</si>
  <si>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</si>
  <si>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</si>
  <si>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</si>
  <si>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</si>
  <si>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</si>
  <si>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</si>
  <si>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</si>
  <si>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</si>
  <si>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</si>
  <si>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</si>
  <si>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</si>
  <si>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</si>
  <si>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</si>
  <si>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</si>
  <si>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</si>
  <si>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</si>
  <si>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</si>
  <si>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</si>
  <si>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</si>
  <si>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</si>
  <si>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</si>
  <si>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</si>
  <si>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</si>
  <si>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</si>
  <si>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</si>
  <si>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</si>
  <si>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</si>
  <si>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</si>
  <si>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</si>
  <si>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</si>
  <si>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</si>
  <si>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</si>
  <si>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</si>
  <si>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</si>
  <si>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</si>
  <si>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</si>
  <si>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</si>
  <si>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</si>
  <si>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</si>
  <si>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</si>
  <si>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</si>
  <si>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</si>
  <si>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</si>
  <si>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</si>
  <si>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</si>
  <si>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</si>
  <si>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</si>
  <si>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</si>
  <si>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</si>
  <si>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</si>
  <si>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</si>
  <si>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</si>
  <si>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</si>
  <si>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</si>
  <si>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</si>
  <si>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</si>
  <si>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</si>
  <si>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</si>
  <si>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</si>
  <si>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</si>
  <si>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</si>
  <si>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</si>
  <si>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</si>
  <si>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</si>
  <si>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</si>
  <si>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</si>
  <si>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</si>
  <si>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</si>
  <si>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</si>
  <si>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</si>
  <si>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</si>
  <si>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</si>
  <si>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</si>
  <si>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</si>
  <si>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</si>
  <si>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</si>
  <si>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</si>
  <si>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</si>
  <si>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</si>
  <si>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</si>
  <si>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</si>
  <si>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</si>
  <si>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</si>
  <si>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</si>
  <si>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</si>
  <si>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</si>
  <si>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</si>
  <si>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</si>
  <si>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</si>
  <si>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</si>
  <si>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</si>
  <si>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</si>
  <si>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</si>
  <si>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</si>
  <si>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</si>
  <si>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</si>
  <si>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</si>
  <si>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</si>
  <si>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</si>
  <si>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</si>
  <si>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</si>
  <si>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</si>
  <si>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</si>
  <si>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</si>
  <si>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</si>
  <si>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</si>
  <si>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</si>
  <si>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</si>
  <si>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</si>
  <si>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</si>
  <si>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</si>
  <si>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</si>
  <si>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</si>
  <si>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</si>
  <si>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</si>
  <si>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</si>
  <si>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</si>
  <si>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</si>
  <si>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</si>
  <si>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</si>
  <si>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</si>
  <si>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</si>
  <si>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</si>
  <si>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</si>
  <si>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</si>
  <si>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</si>
  <si>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</si>
  <si>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</si>
  <si>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</si>
  <si>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</si>
  <si>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</si>
  <si>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</si>
  <si>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</si>
  <si>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</si>
  <si>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</si>
  <si>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</si>
  <si>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</si>
  <si>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</si>
  <si>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</si>
  <si>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</si>
  <si>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</si>
  <si>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</si>
  <si>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</si>
  <si>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</si>
  <si>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</si>
  <si>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</si>
  <si>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</si>
  <si>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</si>
  <si>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</si>
  <si>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</si>
  <si>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</si>
  <si>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</si>
  <si>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</si>
  <si>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</si>
  <si>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</si>
  <si>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</si>
  <si>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</si>
  <si>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</si>
  <si>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</si>
  <si>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</si>
  <si>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</si>
  <si>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</si>
  <si>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</si>
  <si>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</si>
  <si>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</si>
  <si>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</si>
  <si>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</si>
  <si>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</si>
  <si>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</si>
  <si>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</si>
  <si>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</si>
  <si>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</si>
  <si>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</si>
  <si>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</si>
  <si>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</si>
  <si>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</si>
  <si>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</si>
  <si>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</si>
  <si>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</si>
  <si>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</si>
  <si>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</si>
  <si>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</si>
  <si>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</si>
  <si>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</si>
  <si>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</si>
  <si>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</si>
  <si>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</si>
  <si>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</si>
  <si>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</si>
  <si>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</si>
  <si>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</si>
  <si>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</si>
  <si>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</si>
  <si>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</si>
  <si>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</si>
  <si>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</si>
  <si>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</si>
  <si>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</si>
  <si>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</si>
  <si>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</si>
  <si>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</si>
  <si>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</si>
  <si>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</si>
  <si>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</si>
  <si>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</si>
  <si>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</si>
  <si>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</si>
  <si>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</si>
  <si>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</si>
  <si>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</si>
  <si>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</si>
  <si>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</si>
  <si>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</si>
  <si>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</si>
  <si>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</si>
  <si>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</si>
  <si>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</si>
  <si>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</si>
  <si>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</si>
  <si>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</si>
  <si>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</si>
  <si>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</si>
  <si>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</si>
  <si>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</si>
  <si>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</si>
  <si>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</si>
  <si>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</si>
  <si>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</si>
  <si>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</si>
  <si>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</si>
  <si>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</si>
  <si>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</si>
  <si>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</si>
  <si>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</si>
  <si>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</si>
  <si>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</si>
  <si>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</si>
  <si>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</si>
  <si>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</si>
  <si>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</si>
  <si>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</si>
  <si>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</si>
  <si>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</si>
  <si>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</si>
  <si>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</si>
  <si>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</si>
  <si>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</si>
  <si>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</si>
  <si>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</si>
  <si>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</si>
  <si>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</si>
  <si>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</si>
  <si>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</si>
  <si>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</si>
  <si>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</si>
  <si>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</si>
  <si>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</si>
  <si>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</si>
  <si>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</si>
  <si>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</si>
  <si>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</si>
  <si>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</si>
  <si>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</si>
  <si>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</si>
  <si>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</si>
  <si>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</si>
  <si>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</si>
  <si>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</si>
  <si>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</si>
  <si>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</si>
  <si>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</si>
  <si>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</si>
  <si>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</si>
  <si>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</si>
  <si>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</si>
  <si>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</si>
  <si>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</si>
  <si>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</si>
  <si>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</si>
  <si>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</si>
  <si>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</si>
  <si>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</si>
  <si>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</si>
  <si>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</si>
  <si>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</si>
  <si>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</si>
  <si>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</si>
  <si>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</si>
  <si>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</si>
  <si>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</si>
  <si>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</si>
  <si>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</si>
  <si>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</si>
  <si>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</si>
  <si>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</si>
  <si>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</si>
  <si>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</si>
  <si>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</si>
  <si>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</si>
  <si>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</si>
  <si>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</si>
  <si>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</si>
  <si>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</si>
  <si>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</si>
  <si>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</si>
  <si>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</si>
  <si>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</si>
  <si>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</si>
  <si>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</si>
  <si>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</si>
  <si>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</si>
  <si>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</si>
  <si>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</si>
  <si>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</si>
  <si>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</si>
  <si>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</si>
  <si>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</si>
  <si>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</si>
  <si>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</si>
  <si>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</si>
  <si>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</si>
  <si>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</si>
  <si>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</si>
  <si>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</si>
  <si>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</si>
  <si>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</si>
  <si>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</si>
  <si>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</si>
  <si>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</si>
  <si>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</si>
  <si>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</si>
  <si>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</si>
  <si>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</si>
  <si>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</si>
  <si>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</si>
  <si>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</si>
  <si>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</si>
  <si>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</si>
  <si>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</si>
  <si>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</si>
  <si>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</si>
  <si>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</si>
  <si>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</si>
  <si>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</si>
  <si>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</si>
  <si>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</si>
  <si>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</si>
  <si>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</si>
  <si>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</si>
  <si>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</si>
  <si>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</si>
  <si>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</si>
  <si>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</si>
  <si>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</si>
  <si>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</si>
  <si>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</si>
  <si>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</si>
  <si>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</si>
  <si>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</si>
  <si>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</si>
  <si>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</si>
  <si>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</si>
  <si>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</si>
  <si>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</si>
  <si>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</si>
  <si>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</si>
  <si>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</si>
  <si>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</si>
  <si>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</si>
  <si>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</si>
  <si>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</si>
  <si>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</si>
  <si>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</si>
  <si>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</si>
  <si>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</si>
  <si>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</si>
  <si>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</si>
  <si>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</si>
  <si>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</si>
  <si>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</si>
  <si>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</si>
  <si>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</si>
  <si>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</si>
  <si>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</si>
  <si>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</si>
  <si>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</si>
  <si>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</si>
  <si>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</si>
  <si>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</si>
  <si>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</si>
  <si>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</si>
  <si>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</si>
  <si>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</si>
  <si>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</si>
  <si>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</si>
  <si>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</si>
  <si>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</si>
  <si>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</si>
  <si>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</si>
  <si>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</si>
  <si>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</si>
  <si>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</si>
  <si>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</si>
  <si>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</si>
  <si>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</si>
  <si>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</si>
  <si>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</si>
  <si>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</si>
  <si>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</si>
  <si>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</si>
  <si>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</si>
  <si>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</si>
  <si>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</si>
  <si>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</si>
  <si>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</si>
  <si>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</si>
  <si>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</si>
  <si>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</si>
  <si>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</si>
  <si>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</si>
  <si>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</si>
  <si>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</si>
  <si>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</si>
  <si>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</si>
  <si>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</si>
  <si>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</si>
  <si>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</si>
  <si>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</si>
  <si>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</si>
  <si>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</si>
  <si>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</si>
  <si>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</si>
  <si>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</si>
  <si>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</si>
  <si>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</si>
  <si>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</si>
  <si>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</si>
  <si>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</si>
  <si>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</si>
  <si>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</si>
  <si>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</si>
  <si>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</si>
  <si>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</si>
  <si>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</si>
  <si>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</si>
  <si>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</si>
  <si>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</si>
  <si>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</si>
  <si>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</si>
  <si>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</si>
  <si>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</si>
  <si>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</si>
  <si>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</si>
  <si>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</si>
  <si>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</si>
  <si>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</si>
  <si>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</si>
  <si>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</si>
  <si>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</si>
  <si>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</si>
  <si>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</si>
  <si>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</si>
  <si>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</si>
  <si>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</si>
  <si>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</si>
  <si>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</si>
  <si>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</si>
  <si>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</si>
  <si>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</si>
  <si>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</si>
  <si>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</si>
  <si>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</si>
  <si>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</si>
  <si>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</si>
  <si>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</si>
  <si>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</si>
  <si>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</si>
  <si>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</si>
  <si>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</si>
  <si>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</si>
  <si>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</si>
  <si>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</si>
  <si>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</si>
  <si>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</si>
  <si>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</si>
  <si>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</si>
  <si>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</si>
  <si>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</si>
  <si>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</si>
  <si>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</si>
  <si>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</si>
  <si>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</si>
  <si>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</si>
  <si>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</si>
  <si>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</si>
  <si>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</si>
  <si>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</si>
  <si>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</si>
  <si>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</si>
  <si>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</si>
  <si>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</si>
  <si>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</si>
  <si>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</si>
  <si>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</si>
  <si>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</si>
  <si>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</si>
  <si>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</si>
  <si>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</si>
  <si>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</si>
  <si>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</si>
  <si>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</si>
  <si>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</si>
  <si>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</si>
  <si>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</si>
  <si>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</si>
  <si>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</si>
  <si>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</si>
  <si>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</si>
  <si>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</si>
  <si>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</si>
  <si>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</si>
  <si>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</si>
  <si>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</si>
  <si>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</si>
  <si>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</si>
  <si>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</si>
  <si>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</si>
  <si>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</si>
  <si>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</si>
  <si>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</si>
  <si>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</si>
  <si>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</si>
  <si>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</si>
  <si>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</si>
  <si>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</si>
  <si>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</si>
  <si>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</si>
  <si>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</si>
  <si>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</si>
  <si>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</si>
  <si>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</si>
  <si>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</si>
  <si>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</si>
  <si>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</si>
  <si>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</si>
  <si>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</si>
  <si>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</si>
  <si>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</si>
  <si>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</si>
  <si>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</si>
  <si>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</si>
  <si>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</si>
  <si>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</si>
  <si>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</si>
  <si>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</si>
  <si>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</si>
  <si>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</si>
  <si>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</si>
  <si>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</si>
  <si>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</si>
  <si>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</si>
  <si>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</si>
  <si>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</si>
  <si>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</si>
  <si>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</si>
  <si>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</si>
  <si>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</si>
  <si>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</si>
  <si>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</si>
  <si>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</si>
  <si>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</si>
  <si>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</si>
  <si>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</si>
  <si>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</si>
  <si>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</si>
  <si>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</si>
  <si>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</si>
  <si>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</si>
  <si>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</si>
  <si>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CouponCode</t>
  </si>
  <si>
    <t>SUMMARY TABLE</t>
  </si>
  <si>
    <t>TOTAL PRICE</t>
  </si>
  <si>
    <t>ITEMS IN CART</t>
  </si>
  <si>
    <t>TOTAL</t>
  </si>
  <si>
    <t>QUANTITIES</t>
  </si>
  <si>
    <t>PRODUCTS</t>
  </si>
  <si>
    <t>email</t>
  </si>
  <si>
    <t>Credit card</t>
  </si>
  <si>
    <t>NO COUPON CODE</t>
  </si>
  <si>
    <t>PAYMENT METHOD</t>
  </si>
  <si>
    <t>ORDER STATUS</t>
  </si>
  <si>
    <t>REFERRAL SOURCE</t>
  </si>
  <si>
    <t>COUPON CODE</t>
  </si>
  <si>
    <t>TOTAL2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</si>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</sst>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2" fillId="2" borderId="0" xfId="0" applyFont="1" applyFill="1"/>
    <xf numFmtId="0" fontId="4" fillId="0" borderId="0" xfId="0" applyFont="1" applyAlignment="1">
      <alignment horizontal="left" indent="1"/>
    </xf>
    <xf numFmtId="0" fontId="3" fillId="3" borderId="0" xfId="0" applyFont="1" applyFill="1"/>
    <xf numFmtId="0" fontId="5" fillId="2" borderId="0" xfId="0" applyFont="1" applyFill="1"/>
    <xf numFmtId="0" fontId="0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30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</font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756579-304A-49BE-BF42-ACE0428552D7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1BD9C-0CF4-4FAE-AA32-53CF3854CC73}" name="Sheet1" displayName="Sheet1" ref="A1:N1202" tableType="queryTable" totalsRowCount="1">
  <autoFilter ref="A1:N1201" xr:uid="{64B1BD9C-0CF4-4FAE-AA32-53CF3854CC73}"/>
  <tableColumns count="14">
    <tableColumn id="1" xr3:uid="{A06CA552-738A-4C1F-AFBD-E07A8EEBC147}" uniqueName="1" name="OrderID" queryTableFieldId="1" dataDxfId="29" totalsRowDxfId="28"/>
    <tableColumn id="2" xr3:uid="{F4D87516-096E-4840-9424-FBE2F904FCA3}" uniqueName="2" name="Date" queryTableFieldId="2" dataDxfId="27" totalsRowDxfId="26"/>
    <tableColumn id="3" xr3:uid="{E6BF6682-75B6-4ED3-8610-FE6833B4F4F5}" uniqueName="3" name="CustomerID" queryTableFieldId="3" dataDxfId="25" totalsRowDxfId="24"/>
    <tableColumn id="4" xr3:uid="{22FB82F6-FBBF-483E-BDA1-E66049AFDA35}" uniqueName="4" name="Product" queryTableFieldId="4" dataDxfId="23" totalsRowDxfId="22"/>
    <tableColumn id="5" xr3:uid="{E2340AC3-5661-4747-AA92-1BEF20F6C1AC}" uniqueName="5" name="Quantity" totalsRowFunction="custom" queryTableFieldId="5">
      <totalsRowFormula>SUM(E2:E1201)</totalsRowFormula>
    </tableColumn>
    <tableColumn id="6" xr3:uid="{61A6B833-C7A0-43A6-9F0D-33B10C3469B8}" uniqueName="6" name="UnitPrice" queryTableFieldId="6"/>
    <tableColumn id="7" xr3:uid="{D8DDBCBF-A8B4-4966-864F-1EFF6C95C4BD}" uniqueName="7" name="ShippingAddress" queryTableFieldId="7" dataDxfId="21" totalsRowDxfId="20"/>
    <tableColumn id="8" xr3:uid="{63D127D7-1AC3-4D2D-9418-A718FFE0F724}" uniqueName="8" name="PaymentMethod" queryTableFieldId="8" dataDxfId="19" totalsRowDxfId="18"/>
    <tableColumn id="9" xr3:uid="{FDFC15B1-DC50-4454-9739-2CA2B61A09FC}" uniqueName="9" name="OrderStatus" queryTableFieldId="9" dataDxfId="17" totalsRowDxfId="16"/>
    <tableColumn id="10" xr3:uid="{FB9EFF03-549F-4980-92FB-00398AE22B4E}" uniqueName="10" name="TrackingNumber" queryTableFieldId="10" dataDxfId="15" totalsRowDxfId="14"/>
    <tableColumn id="11" xr3:uid="{AA265397-7447-41D1-A3D9-D06EFFC67A81}" uniqueName="11" name="ItemsInCart" queryTableFieldId="11"/>
    <tableColumn id="12" xr3:uid="{AE3E0F9A-2395-4485-A835-C2392177C1FD}" uniqueName="12" name="CouponCode" queryTableFieldId="12" dataDxfId="13" totalsRowDxfId="12"/>
    <tableColumn id="13" xr3:uid="{3573075E-4AA2-45F0-9B1C-ADE5B1A41458}" uniqueName="13" name="ReferralSource" queryTableFieldId="13" dataDxfId="11" totalsRowDxfId="10"/>
    <tableColumn id="14" xr3:uid="{1E0F8ABB-524C-44CD-9C63-7B2A3DD0E107}" uniqueName="14" name="TotalPrice" totalsRowFunction="custom" queryTableFieldId="14">
      <totalsRowFormula>SUM(N2:N1201)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45743B-C1D4-4697-9980-A1DA17EB6576}" name="Table4" displayName="Table4" ref="R14:U22" totalsRowShown="0" headerRowDxfId="9">
  <autoFilter ref="R14:U22" xr:uid="{3145743B-C1D4-4697-9980-A1DA17EB6576}"/>
  <tableColumns count="4">
    <tableColumn id="1" xr3:uid="{7C7E4941-1120-4E44-A96C-78D78CA5E4C9}" name="PRODUCTS"/>
    <tableColumn id="2" xr3:uid="{42115439-F50D-49A3-9F67-32CCAA742CA9}" name="QUANTITIES"/>
    <tableColumn id="3" xr3:uid="{01B1D316-4572-4FC5-A7D5-C808B93B1F72}" name="ITEMS IN CART"/>
    <tableColumn id="4" xr3:uid="{6901EBE6-A8A2-45F9-ACF1-53BF82C0BD52}" name="TOTAL PRI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FFD934-1148-4428-B018-72A74E7506C4}" name="Table3" displayName="Table3" ref="R25:U30" totalsRowShown="0" headerRowDxfId="7" dataDxfId="8">
  <autoFilter ref="R25:U30" xr:uid="{DFFFD934-1148-4428-B018-72A74E7506C4}"/>
  <tableColumns count="4">
    <tableColumn id="1" xr3:uid="{E7223586-01D3-4F29-A14A-C6AD790F6A3E}" name="ORDER STATUS" dataDxfId="5"/>
    <tableColumn id="2" xr3:uid="{4F78752C-58A8-4340-A45F-4AA8DDCFD941}" name="TOTAL" dataDxfId="4"/>
    <tableColumn id="3" xr3:uid="{DE277F8E-A17F-48F3-B635-D4093E88AE82}" name="REFERRAL SOURCE" dataDxfId="2"/>
    <tableColumn id="4" xr3:uid="{5F0E9F76-AAA2-465E-8B01-C2011C29D9F2}" name="TOTAL2" dataDxfId="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11115E-5603-4574-91F8-4015DD2890FC}" name="Table5" displayName="Table5" ref="R33:U37" totalsRowShown="0" headerRowDxfId="6">
  <autoFilter ref="R33:U37" xr:uid="{0211115E-5603-4574-91F8-4015DD2890FC}"/>
  <tableColumns count="4">
    <tableColumn id="1" xr3:uid="{2BA0D2D2-A035-4630-8AEF-C73EB5930061}" name="PAYMENT METHOD" dataDxfId="0"/>
    <tableColumn id="2" xr3:uid="{6B628F0F-400B-4D56-B76F-33D17CFE1F78}" name="TOTAL"/>
    <tableColumn id="3" xr3:uid="{70B61955-1E3F-4FC5-9172-970D8DDFD823}" name="COUPON CODE" dataDxfId="1"/>
    <tableColumn id="4" xr3:uid="{BB810A2E-76A7-4CCA-839B-EE1B4821EABD}" name="TOTAL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7349-2756-4083-B75F-470B74F00448}">
  <dimension ref="A1:U1202"/>
  <sheetViews>
    <sheetView tabSelected="1" topLeftCell="J10" zoomScale="69" workbookViewId="0">
      <selection activeCell="R26" sqref="R26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5.5703125" bestFit="1" customWidth="1"/>
    <col min="13" max="13" width="16.5703125" bestFit="1" customWidth="1"/>
    <col min="14" max="14" width="12.140625" bestFit="1" customWidth="1"/>
    <col min="18" max="18" width="26.85546875" bestFit="1" customWidth="1"/>
    <col min="19" max="19" width="24.140625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1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21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21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21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21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21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21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21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21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21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21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21" ht="21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S13" s="6" t="s">
        <v>4284</v>
      </c>
    </row>
    <row r="14" spans="1:21" ht="18.75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R14" s="4" t="s">
        <v>4289</v>
      </c>
      <c r="S14" s="4" t="s">
        <v>4288</v>
      </c>
      <c r="T14" s="4" t="s">
        <v>4286</v>
      </c>
      <c r="U14" s="4" t="s">
        <v>4285</v>
      </c>
    </row>
    <row r="15" spans="1:21" ht="15.75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R15" s="5" t="s">
        <v>2406</v>
      </c>
      <c r="S15">
        <f>SUMIF(D2:D1201,"Chair",E2:E1201)</f>
        <v>562</v>
      </c>
      <c r="T15">
        <f>SUMIF(D2:D1201,"Chair",K2:K1201)</f>
        <v>1029</v>
      </c>
      <c r="U15">
        <f>SUMIF(D2:D1201,"chair",N2:N1201)</f>
        <v>195620.11000000002</v>
      </c>
    </row>
    <row r="16" spans="1:21" ht="15.75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R16" s="5" t="s">
        <v>2409</v>
      </c>
      <c r="S16">
        <f>SUMIF(D2:D1201,"Desk",E2:E1201)</f>
        <v>508</v>
      </c>
      <c r="T16">
        <f>SUMIF(D2:D1201,"Desk",K2:K1201)</f>
        <v>948</v>
      </c>
      <c r="U16">
        <f>SUMIF(D2:D1201,"Desk",N2:N1201)</f>
        <v>167459.93</v>
      </c>
    </row>
    <row r="17" spans="1:21" ht="15.75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R17" s="5" t="s">
        <v>2403</v>
      </c>
      <c r="S17">
        <f>SUMIF(D2:D1201,"Monitor",E2:E1201)</f>
        <v>480</v>
      </c>
      <c r="T17">
        <f>SUMIF(D2:D1201,"Monitor",K2:K1201)</f>
        <v>906</v>
      </c>
      <c r="U17">
        <f>SUMIF(D2:D1201,"Monitor",N2:N1201)</f>
        <v>175651.40999999997</v>
      </c>
    </row>
    <row r="18" spans="1:21" ht="15.75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R18" s="5" t="s">
        <v>2408</v>
      </c>
      <c r="S18">
        <f>SUMIF(D2:D1201,"Laptop",E2:E1201)</f>
        <v>535</v>
      </c>
      <c r="T18">
        <f>SUMIF(D2:D1201,"Laptop",K2:K1201)</f>
        <v>924</v>
      </c>
      <c r="U18">
        <f>SUMIF(D2:D1201,"Laptop",N2:N1201)</f>
        <v>192126.55999999994</v>
      </c>
    </row>
    <row r="19" spans="1:21" ht="15.75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R19" s="5" t="s">
        <v>2404</v>
      </c>
      <c r="S19">
        <f>SUMIF(D2:D1201,"Phone",E2:E1201)</f>
        <v>411</v>
      </c>
      <c r="T19">
        <f>SUMIF(D2:D1201,"Phone",K2:K1201)</f>
        <v>792</v>
      </c>
      <c r="U19">
        <f>SUMIF(D2:D1201,"Phone",N2:N1201)</f>
        <v>151722.39000000001</v>
      </c>
    </row>
    <row r="20" spans="1:21" ht="15.75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R20" s="5" t="s">
        <v>2407</v>
      </c>
      <c r="S20">
        <f>SUMIF(D2:D1201,"Printer",E2:E1201)</f>
        <v>542</v>
      </c>
      <c r="T20">
        <f>SUMIF(D2:D1201,"Printer",K2:K1201)</f>
        <v>998</v>
      </c>
      <c r="U20">
        <f>SUMIF(D2:D1201,"Printer",N2:N1201)</f>
        <v>195612.60999999996</v>
      </c>
    </row>
    <row r="21" spans="1:21" ht="15.75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R21" s="5" t="s">
        <v>2405</v>
      </c>
      <c r="S21">
        <f>SUMIF(D2:D1201,"Tablet",E2:E1201)</f>
        <v>497</v>
      </c>
      <c r="T21">
        <f>SUMIF(D2:D1201,"Tablet",K2:K1201)</f>
        <v>985</v>
      </c>
      <c r="U21">
        <f>SUMIF(D2:D1201,"Tablet",N2:N1201)</f>
        <v>186568.95000000007</v>
      </c>
    </row>
    <row r="22" spans="1:21" ht="18.75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R22" s="4" t="s">
        <v>4287</v>
      </c>
      <c r="S22" s="4">
        <f>SUM(S15:S21)</f>
        <v>3535</v>
      </c>
      <c r="T22" s="4">
        <f>SUM(T15:T21)</f>
        <v>6582</v>
      </c>
      <c r="U22" s="4">
        <f>SUM(U15:U21)</f>
        <v>1264761.96</v>
      </c>
    </row>
    <row r="23" spans="1:21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21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21" ht="18.75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R25" s="7" t="s">
        <v>4294</v>
      </c>
      <c r="S25" s="7" t="s">
        <v>4287</v>
      </c>
      <c r="T25" s="7" t="s">
        <v>4295</v>
      </c>
      <c r="U25" s="7" t="s">
        <v>4297</v>
      </c>
    </row>
    <row r="26" spans="1:21" ht="15.75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R26" s="10" t="s">
        <v>3071</v>
      </c>
      <c r="S26" s="8">
        <f>COUNTIF(I2:I1201,"Cancelled")</f>
        <v>250</v>
      </c>
      <c r="T26" s="9" t="s">
        <v>4290</v>
      </c>
      <c r="U26" s="8">
        <f>COUNTIF(M2:M1201,"Email")</f>
        <v>250</v>
      </c>
    </row>
    <row r="27" spans="1:21" ht="15.75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R27" s="10" t="s">
        <v>3073</v>
      </c>
      <c r="S27" s="8">
        <f>COUNTIF(I2:I1201,"Delivered")</f>
        <v>231</v>
      </c>
      <c r="T27" s="9" t="s">
        <v>4281</v>
      </c>
      <c r="U27" s="8">
        <f>COUNTIF(M2:M1201,"Facebook")</f>
        <v>228</v>
      </c>
    </row>
    <row r="28" spans="1:21" ht="15.75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R28" s="10" t="s">
        <v>3074</v>
      </c>
      <c r="S28" s="8">
        <f>COUNTIF(I2:I1201,"Pending")</f>
        <v>237</v>
      </c>
      <c r="T28" s="9" t="s">
        <v>4278</v>
      </c>
      <c r="U28" s="8">
        <f>COUNTIF(M2:M1201,"Instagram")</f>
        <v>259</v>
      </c>
    </row>
    <row r="29" spans="1:21" ht="15.75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R29" s="10" t="s">
        <v>3070</v>
      </c>
      <c r="S29" s="8">
        <f>COUNTIF(I2:I1201,"Shipped")</f>
        <v>235</v>
      </c>
      <c r="T29" s="9" t="s">
        <v>4282</v>
      </c>
      <c r="U29" s="8">
        <f>COUNTIF(M2:M1201,"Google")</f>
        <v>241</v>
      </c>
    </row>
    <row r="30" spans="1:21" ht="15.75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R30" s="10" t="s">
        <v>3072</v>
      </c>
      <c r="S30" s="8">
        <f>COUNTIF(I2:I1201,"Returned")</f>
        <v>247</v>
      </c>
      <c r="T30" s="9" t="s">
        <v>4279</v>
      </c>
      <c r="U30" s="8">
        <f>COUNTIF(M2:M1201,"Referral")</f>
        <v>222</v>
      </c>
    </row>
    <row r="31" spans="1:21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21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21" ht="18.75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R33" s="7" t="s">
        <v>4293</v>
      </c>
      <c r="S33" s="7" t="s">
        <v>4287</v>
      </c>
      <c r="T33" s="7" t="s">
        <v>4296</v>
      </c>
      <c r="U33" s="7" t="s">
        <v>4297</v>
      </c>
    </row>
    <row r="34" spans="1:21" ht="15.75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R34" s="11" t="s">
        <v>3069</v>
      </c>
      <c r="S34">
        <f>COUNTIF(H2:H1201,"Cash")</f>
        <v>246</v>
      </c>
      <c r="T34" s="9" t="s">
        <v>4275</v>
      </c>
      <c r="U34">
        <f>COUNTIF(L2:L1201,"SAVE10")</f>
        <v>286</v>
      </c>
    </row>
    <row r="35" spans="1:21" ht="15.75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R35" s="11" t="s">
        <v>4298</v>
      </c>
      <c r="S35">
        <f>COUNTIF(H2:H1201,"Debit card")</f>
        <v>232</v>
      </c>
      <c r="T35" s="9" t="s">
        <v>4276</v>
      </c>
      <c r="U35">
        <f>COUNTIF(L2:L1201,"FREESHIP")</f>
        <v>313</v>
      </c>
    </row>
    <row r="36" spans="1:21" ht="15.75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R36" s="11" t="s">
        <v>4291</v>
      </c>
      <c r="S36">
        <f>COUNTIF(H2:H1201,"Credit card")</f>
        <v>234</v>
      </c>
      <c r="T36" s="9" t="s">
        <v>4277</v>
      </c>
      <c r="U36">
        <f>COUNTIF(L2:L1201,"WINTER15")</f>
        <v>292</v>
      </c>
    </row>
    <row r="37" spans="1:21" ht="15.75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R37" s="11" t="s">
        <v>3066</v>
      </c>
      <c r="S37">
        <f>COUNTIF(H2:H1201,"Online")</f>
        <v>258</v>
      </c>
      <c r="T37" s="9" t="s">
        <v>4292</v>
      </c>
      <c r="U37">
        <f>COUNTIF(L2:L1201,"No CouponCode")</f>
        <v>309</v>
      </c>
    </row>
    <row r="38" spans="1:21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21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21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21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21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21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21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21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21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21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21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  <row r="1202" spans="1:14" x14ac:dyDescent="0.25">
      <c r="B1202" s="3"/>
      <c r="E1202">
        <f>SUM(E2:E1201)</f>
        <v>3535</v>
      </c>
      <c r="N1202">
        <f>SUM(N2:N1201)</f>
        <v>1264761.9600000004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39C4-75E0-41C1-B78F-02ECABF46F8F}">
  <dimension ref="A1:N1201"/>
  <sheetViews>
    <sheetView workbookViewId="0">
      <selection sqref="A1:N12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8AFFF-6282-4A7A-A566-1DC22AB0D7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Messy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2026-06-14T14:21:45Z</dcterms:modified>
</cp:coreProperties>
</file>